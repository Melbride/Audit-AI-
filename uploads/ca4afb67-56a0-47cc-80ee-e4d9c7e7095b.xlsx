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 - March 2024" sheetId="1" state="visible" r:id="rId3"/>
    <sheet name="Dept Summary" sheetId="2" state="visible" r:id="rId4"/>
    <sheet name="Changes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<sst xmlns="http://schemas.openxmlformats.org/spreadsheetml/2006/main" count="293" uniqueCount="181">
  <si>
    <t xml:space="preserve">Emp No.</t>
  </si>
  <si>
    <t xml:space="preserve">EMPLOYEE NAME</t>
  </si>
  <si>
    <t xml:space="preserve">employee name (2)</t>
  </si>
  <si>
    <t xml:space="preserve">Dept</t>
  </si>
  <si>
    <t xml:space="preserve">Department Code</t>
  </si>
  <si>
    <t xml:space="preserve">Basic Sal.</t>
  </si>
  <si>
    <t xml:space="preserve">BASIC SALARY (KES)</t>
  </si>
  <si>
    <t xml:space="preserve">House Allow.</t>
  </si>
  <si>
    <t xml:space="preserve">Transport Allow</t>
  </si>
  <si>
    <t xml:space="preserve">Gross Pay</t>
  </si>
  <si>
    <t xml:space="preserve">NHIF</t>
  </si>
  <si>
    <t xml:space="preserve">NSSF</t>
  </si>
  <si>
    <t xml:space="preserve">N.S.S.F</t>
  </si>
  <si>
    <t xml:space="preserve">PAYE Tax</t>
  </si>
  <si>
    <t xml:space="preserve">Loan Deduction</t>
  </si>
  <si>
    <t xml:space="preserve">Other Ded.</t>
  </si>
  <si>
    <t xml:space="preserve">TOTAL DEDUCTIONS</t>
  </si>
  <si>
    <t xml:space="preserve">NET PAY</t>
  </si>
  <si>
    <t xml:space="preserve">Bank</t>
  </si>
  <si>
    <t xml:space="preserve">Acc. No.</t>
  </si>
  <si>
    <t xml:space="preserve">Account Number</t>
  </si>
  <si>
    <t xml:space="preserve">Pay Date</t>
  </si>
  <si>
    <t xml:space="preserve">REMARKS</t>
  </si>
  <si>
    <t xml:space="preserve">EMP-001</t>
  </si>
  <si>
    <t xml:space="preserve">James Mwangi</t>
  </si>
  <si>
    <t xml:space="preserve">Finance</t>
  </si>
  <si>
    <t xml:space="preserve">FIN</t>
  </si>
  <si>
    <t xml:space="preserve">Equity Bank</t>
  </si>
  <si>
    <t xml:space="preserve">0023456781</t>
  </si>
  <si>
    <t xml:space="preserve">29/03/2024</t>
  </si>
  <si>
    <t xml:space="preserve">EMP-002</t>
  </si>
  <si>
    <t xml:space="preserve">Grace Achieng</t>
  </si>
  <si>
    <t xml:space="preserve">Grace A.</t>
  </si>
  <si>
    <t xml:space="preserve">HR</t>
  </si>
  <si>
    <t xml:space="preserve">KCB</t>
  </si>
  <si>
    <t xml:space="preserve">1122334455</t>
  </si>
  <si>
    <t xml:space="preserve">EMP-003</t>
  </si>
  <si>
    <t xml:space="preserve">Peter Mwenda</t>
  </si>
  <si>
    <t xml:space="preserve">PETER MWENDA</t>
  </si>
  <si>
    <t xml:space="preserve">IT</t>
  </si>
  <si>
    <t xml:space="preserve">Stanbic Bank</t>
  </si>
  <si>
    <t xml:space="preserve">2233445566</t>
  </si>
  <si>
    <t xml:space="preserve">29-Mar-24</t>
  </si>
  <si>
    <t xml:space="preserve">loan: laptop</t>
  </si>
  <si>
    <t xml:space="preserve">EMP-004</t>
  </si>
  <si>
    <t xml:space="preserve">Mary Njeri Kamau</t>
  </si>
  <si>
    <t xml:space="preserve">Mary N.</t>
  </si>
  <si>
    <t xml:space="preserve">Procurement</t>
  </si>
  <si>
    <t xml:space="preserve">PROC</t>
  </si>
  <si>
    <t xml:space="preserve">Cooperative Bank</t>
  </si>
  <si>
    <t xml:space="preserve">3344556677</t>
  </si>
  <si>
    <t xml:space="preserve">March 29</t>
  </si>
  <si>
    <t xml:space="preserve">EMP-005</t>
  </si>
  <si>
    <t xml:space="preserve">Felix Omondi</t>
  </si>
  <si>
    <t xml:space="preserve">Legal</t>
  </si>
  <si>
    <t xml:space="preserve">LGL</t>
  </si>
  <si>
    <t xml:space="preserve">Absa Bank</t>
  </si>
  <si>
    <t xml:space="preserve">4455667788</t>
  </si>
  <si>
    <t xml:space="preserve">EMP-006</t>
  </si>
  <si>
    <t xml:space="preserve">Dorcas Atieno</t>
  </si>
  <si>
    <t xml:space="preserve">Admin</t>
  </si>
  <si>
    <t xml:space="preserve">ADM</t>
  </si>
  <si>
    <t xml:space="preserve">5566778899</t>
  </si>
  <si>
    <t xml:space="preserve">NHIF query</t>
  </si>
  <si>
    <t xml:space="preserve">EMP-007</t>
  </si>
  <si>
    <t xml:space="preserve">Samuel Mutua</t>
  </si>
  <si>
    <t xml:space="preserve">S. Mutua</t>
  </si>
  <si>
    <t xml:space="preserve">Logistics</t>
  </si>
  <si>
    <t xml:space="preserve">LOG</t>
  </si>
  <si>
    <t xml:space="preserve">6677889900</t>
  </si>
  <si>
    <t xml:space="preserve">EMP-008</t>
  </si>
  <si>
    <t xml:space="preserve">Lydia Chebet</t>
  </si>
  <si>
    <t xml:space="preserve">Standard Chartered</t>
  </si>
  <si>
    <t xml:space="preserve">7788990011</t>
  </si>
  <si>
    <t xml:space="preserve">2024-03-29</t>
  </si>
  <si>
    <t xml:space="preserve">NSSF discrepancy?</t>
  </si>
  <si>
    <t xml:space="preserve">EMP-009</t>
  </si>
  <si>
    <t xml:space="preserve">Brian Kamau</t>
  </si>
  <si>
    <t xml:space="preserve">8899001122</t>
  </si>
  <si>
    <t xml:space="preserve">deductions not processed</t>
  </si>
  <si>
    <t xml:space="preserve">EMP-010</t>
  </si>
  <si>
    <t xml:space="preserve">Susan Auma</t>
  </si>
  <si>
    <t xml:space="preserve">Marketing</t>
  </si>
  <si>
    <t xml:space="preserve">MKT</t>
  </si>
  <si>
    <t xml:space="preserve">9900112233</t>
  </si>
  <si>
    <t xml:space="preserve">9900112200</t>
  </si>
  <si>
    <t xml:space="preserve">EMP-011</t>
  </si>
  <si>
    <t xml:space="preserve">David Waweru</t>
  </si>
  <si>
    <t xml:space="preserve">NCBA Bank</t>
  </si>
  <si>
    <t xml:space="preserve">0011223344</t>
  </si>
  <si>
    <t xml:space="preserve">dept code mismatch</t>
  </si>
  <si>
    <t xml:space="preserve">EMP-012</t>
  </si>
  <si>
    <t xml:space="preserve">Thomas Simiyu</t>
  </si>
  <si>
    <t xml:space="preserve">1122334456</t>
  </si>
  <si>
    <t xml:space="preserve">March 29, 2024</t>
  </si>
  <si>
    <t xml:space="preserve">EMP-013</t>
  </si>
  <si>
    <t xml:space="preserve">Eunice Nafula</t>
  </si>
  <si>
    <t xml:space="preserve">Family Bank</t>
  </si>
  <si>
    <t xml:space="preserve">2233445567</t>
  </si>
  <si>
    <t xml:space="preserve">EMP-014</t>
  </si>
  <si>
    <t xml:space="preserve">Kevin Onyango</t>
  </si>
  <si>
    <t xml:space="preserve">I&amp;M Bank</t>
  </si>
  <si>
    <t xml:space="preserve">3344556678</t>
  </si>
  <si>
    <t xml:space="preserve">EMP-015</t>
  </si>
  <si>
    <t xml:space="preserve">Rose Cherono</t>
  </si>
  <si>
    <t xml:space="preserve">Operations</t>
  </si>
  <si>
    <t xml:space="preserve">OPS</t>
  </si>
  <si>
    <t xml:space="preserve">4455667789</t>
  </si>
  <si>
    <t xml:space="preserve">NEGATIVE NET PAY - loan too high</t>
  </si>
  <si>
    <t xml:space="preserve">EMP-016</t>
  </si>
  <si>
    <t xml:space="preserve">John Doe</t>
  </si>
  <si>
    <t xml:space="preserve">NO BANK DETAILS - CHECK</t>
  </si>
  <si>
    <t xml:space="preserve">Patrick Kimani</t>
  </si>
  <si>
    <t xml:space="preserve">5566778800</t>
  </si>
  <si>
    <t xml:space="preserve">DUPLICATE EMP NO?</t>
  </si>
  <si>
    <t xml:space="preserve">POSSIBLE DUPLICATE PAYMENT</t>
  </si>
  <si>
    <t xml:space="preserve">EMP-017</t>
  </si>
  <si>
    <t xml:space="preserve">Amara Wanjiku</t>
  </si>
  <si>
    <t xml:space="preserve">A. Wanjiku</t>
  </si>
  <si>
    <t xml:space="preserve">6677001122</t>
  </si>
  <si>
    <t xml:space="preserve">EMP-018</t>
  </si>
  <si>
    <t xml:space="preserve">Collins Odhiambo</t>
  </si>
  <si>
    <t xml:space="preserve">7788112233</t>
  </si>
  <si>
    <t xml:space="preserve">EMP-019</t>
  </si>
  <si>
    <t xml:space="preserve">Vivian Koech</t>
  </si>
  <si>
    <t xml:space="preserve">8899223344</t>
  </si>
  <si>
    <t xml:space="preserve">15/02/2024</t>
  </si>
  <si>
    <t xml:space="preserve">WHY FEB DATE??</t>
  </si>
  <si>
    <t xml:space="preserve">EMP-020</t>
  </si>
  <si>
    <t xml:space="preserve">Dennis Barasa</t>
  </si>
  <si>
    <t xml:space="preserve">9900334455</t>
  </si>
  <si>
    <t xml:space="preserve">PAYROLL SUMMARY BY DEPARTMENT — MARCH 2024</t>
  </si>
  <si>
    <t xml:space="preserve">Department</t>
  </si>
  <si>
    <t xml:space="preserve">Headcount</t>
  </si>
  <si>
    <t xml:space="preserve">Gross Pay (KES)</t>
  </si>
  <si>
    <t xml:space="preserve">Total Deductions</t>
  </si>
  <si>
    <t xml:space="preserve">Net Pay (KES)</t>
  </si>
  <si>
    <t xml:space="preserve">TOTAL</t>
  </si>
  <si>
    <t xml:space="preserve">⚠ NOTE: Figures include suspected duplicate payments for EMP-003 and EMP-007.</t>
  </si>
  <si>
    <t xml:space="preserve">⚠ NOTE: EMP-015 (Rose Cherono) shows negative net pay — not yet resolved with payroll.</t>
  </si>
  <si>
    <t xml:space="preserve">⚠ NOTE: EMP-016 (John Doe) has no bank account on file.</t>
  </si>
  <si>
    <t xml:space="preserve">Payroll Amendments — March 2024</t>
  </si>
  <si>
    <t xml:space="preserve">Date</t>
  </si>
  <si>
    <t xml:space="preserve">Changed By</t>
  </si>
  <si>
    <t xml:space="preserve">Employee</t>
  </si>
  <si>
    <t xml:space="preserve">Field Changed</t>
  </si>
  <si>
    <t xml:space="preserve">Old Value</t>
  </si>
  <si>
    <t xml:space="preserve">New Value</t>
  </si>
  <si>
    <t xml:space="preserve">Approved By</t>
  </si>
  <si>
    <t xml:space="preserve">2024-03-05</t>
  </si>
  <si>
    <t xml:space="preserve">J. Mwangi</t>
  </si>
  <si>
    <t xml:space="preserve">EMP-003 Peter Mwenda</t>
  </si>
  <si>
    <t xml:space="preserve">Basic Salary</t>
  </si>
  <si>
    <t xml:space="preserve">90000</t>
  </si>
  <si>
    <t xml:space="preserve">95000</t>
  </si>
  <si>
    <t xml:space="preserve">HR Director</t>
  </si>
  <si>
    <t xml:space="preserve">2024-03-12</t>
  </si>
  <si>
    <t xml:space="preserve">EMP-015 Rose Cherono</t>
  </si>
  <si>
    <t xml:space="preserve">10000</t>
  </si>
  <si>
    <t xml:space="preserve">20000</t>
  </si>
  <si>
    <t xml:space="preserve">2024-03-18</t>
  </si>
  <si>
    <t xml:space="preserve">unknown</t>
  </si>
  <si>
    <t xml:space="preserve">EMP-016 John Doe</t>
  </si>
  <si>
    <t xml:space="preserve">Employee added</t>
  </si>
  <si>
    <t xml:space="preserve">N/A</t>
  </si>
  <si>
    <t xml:space="preserve">March 20</t>
  </si>
  <si>
    <t xml:space="preserve">A. Odhiambo</t>
  </si>
  <si>
    <t xml:space="preserve">EMP-007 Samuel Mutua</t>
  </si>
  <si>
    <t xml:space="preserve">Net Pay</t>
  </si>
  <si>
    <t xml:space="preserve">65500</t>
  </si>
  <si>
    <t xml:space="preserve">99999</t>
  </si>
  <si>
    <t xml:space="preserve">not approved</t>
  </si>
  <si>
    <t xml:space="preserve">2024-03-22</t>
  </si>
  <si>
    <t xml:space="preserve">EMP-006 Dorcas Atieno</t>
  </si>
  <si>
    <t xml:space="preserve">1700</t>
  </si>
  <si>
    <t xml:space="preserve">500</t>
  </si>
  <si>
    <t xml:space="preserve">EMP-009 Brian Kamau</t>
  </si>
  <si>
    <t xml:space="preserve">PAYE</t>
  </si>
  <si>
    <t xml:space="preserve">calculated</t>
  </si>
  <si>
    <t xml:space="preserve">removed</t>
  </si>
  <si>
    <t xml:space="preserve">NB: Not all changes were logged. Some edits made directly in the payroll file.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</si>
</sst>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3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FF0000"/>
      <name val="Cambria"/>
      <family val="0"/>
      <charset val="1"/>
    </font>
    <font>
      <b val="true"/>
      <sz val="12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FE0E0"/>
        <bgColor rgb="FFDEEAF1"/>
      </patternFill>
    </fill>
    <fill>
      <patternFill patternType="solid">
        <fgColor rgb="FFD9E1F2"/>
        <bgColor rgb="FFDEEAF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0E0"/>
      <rgbColor rgb="FFDEEAF1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3" min="11" style="0" width="8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6" min="16" style="0" width="10"/>
    <col collapsed="false" customWidth="true" hidden="false" outlineLevel="0" max="17" min="17" style="0" width="15"/>
    <col collapsed="false" customWidth="true" hidden="false" outlineLevel="0" max="18" min="18" style="0" width="12"/>
    <col collapsed="false" customWidth="true" hidden="false" outlineLevel="0" max="19" min="19" style="0" width="18"/>
    <col collapsed="false" customWidth="true" hidden="false" outlineLevel="0" max="21" min="20" style="0" width="16"/>
    <col collapsed="false" customWidth="true" hidden="false" outlineLevel="0" max="22" min="22" style="0" width="14"/>
    <col collapsed="false" customWidth="true" hidden="false" outlineLevel="0" max="23" min="23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Format="false" ht="15" hidden="false" customHeight="false" outlineLevel="0" collapsed="false">
      <c r="A2" s="3" t="s">
        <v>23</v>
      </c>
      <c r="B2" s="3" t="s">
        <v>24</v>
      </c>
      <c r="C2" s="3" t="s">
        <v>24</v>
      </c>
      <c r="D2" s="3" t="s">
        <v>25</v>
      </c>
      <c r="E2" s="3" t="s">
        <v>26</v>
      </c>
      <c r="F2" s="3" t="n">
        <v>85000</v>
      </c>
      <c r="G2" s="3" t="n">
        <v>85000</v>
      </c>
      <c r="H2" s="3" t="n">
        <v>8500</v>
      </c>
      <c r="I2" s="3" t="n">
        <v>3000</v>
      </c>
      <c r="J2" s="3" t="n">
        <v>96500</v>
      </c>
      <c r="K2" s="3" t="n">
        <v>1700</v>
      </c>
      <c r="L2" s="3" t="n">
        <v>200</v>
      </c>
      <c r="M2" s="3" t="n">
        <v>200</v>
      </c>
      <c r="N2" s="3" t="n">
        <v>22680</v>
      </c>
      <c r="O2" s="3" t="n">
        <v>5000</v>
      </c>
      <c r="P2" s="3" t="n">
        <v>0</v>
      </c>
      <c r="Q2" s="3" t="n">
        <v>29580</v>
      </c>
      <c r="R2" s="3" t="n">
        <v>66920</v>
      </c>
      <c r="S2" s="3" t="s">
        <v>27</v>
      </c>
      <c r="T2" s="3" t="s">
        <v>28</v>
      </c>
      <c r="U2" s="3" t="s">
        <v>28</v>
      </c>
      <c r="V2" s="3" t="s">
        <v>29</v>
      </c>
      <c r="W2" s="3"/>
    </row>
    <row r="3" customFormat="false" ht="15" hidden="false" customHeight="false" outlineLevel="0" collapsed="false">
      <c r="A3" s="0" t="s">
        <v>30</v>
      </c>
      <c r="B3" s="0" t="s">
        <v>31</v>
      </c>
      <c r="C3" s="0" t="s">
        <v>32</v>
      </c>
      <c r="D3" s="0" t="s">
        <v>33</v>
      </c>
      <c r="E3" s="0" t="s">
        <v>33</v>
      </c>
      <c r="F3" s="0" t="n">
        <v>62000</v>
      </c>
      <c r="G3" s="0" t="n">
        <v>62000</v>
      </c>
      <c r="H3" s="0" t="n">
        <v>6200</v>
      </c>
      <c r="I3" s="0" t="n">
        <v>2000</v>
      </c>
      <c r="J3" s="0" t="n">
        <v>70200</v>
      </c>
      <c r="K3" s="0" t="n">
        <v>1700</v>
      </c>
      <c r="L3" s="0" t="n">
        <v>200</v>
      </c>
      <c r="M3" s="0" t="n">
        <v>200</v>
      </c>
      <c r="N3" s="0" t="n">
        <v>14280</v>
      </c>
      <c r="O3" s="0" t="n">
        <v>0</v>
      </c>
      <c r="P3" s="0" t="n">
        <v>0</v>
      </c>
      <c r="Q3" s="0" t="n">
        <v>16180</v>
      </c>
      <c r="R3" s="0" t="n">
        <v>54020</v>
      </c>
      <c r="S3" s="0" t="s">
        <v>34</v>
      </c>
      <c r="T3" s="0" t="s">
        <v>35</v>
      </c>
      <c r="U3" s="0" t="s">
        <v>35</v>
      </c>
      <c r="V3" s="0" t="s">
        <v>29</v>
      </c>
    </row>
    <row r="4" customFormat="false" ht="15" hidden="false" customHeight="false" outlineLevel="0" collapsed="false">
      <c r="A4" s="0" t="s">
        <v>36</v>
      </c>
      <c r="B4" s="0" t="s">
        <v>37</v>
      </c>
      <c r="C4" s="0" t="s">
        <v>38</v>
      </c>
      <c r="D4" s="0" t="s">
        <v>39</v>
      </c>
      <c r="E4" s="0" t="s">
        <v>39</v>
      </c>
      <c r="F4" s="0" t="n">
        <v>95000</v>
      </c>
      <c r="G4" s="0" t="n">
        <v>95000</v>
      </c>
      <c r="H4" s="0" t="n">
        <v>9500</v>
      </c>
      <c r="I4" s="0" t="n">
        <v>3000</v>
      </c>
      <c r="J4" s="0" t="n">
        <v>107500</v>
      </c>
      <c r="K4" s="0" t="n">
        <v>1700</v>
      </c>
      <c r="L4" s="0" t="n">
        <v>200</v>
      </c>
      <c r="M4" s="0" t="n">
        <v>200</v>
      </c>
      <c r="N4" s="0" t="n">
        <v>27300</v>
      </c>
      <c r="O4" s="0" t="n">
        <v>10000</v>
      </c>
      <c r="P4" s="0" t="n">
        <v>0</v>
      </c>
      <c r="Q4" s="0" t="n">
        <v>39200</v>
      </c>
      <c r="R4" s="0" t="n">
        <v>68300</v>
      </c>
      <c r="S4" s="0" t="s">
        <v>40</v>
      </c>
      <c r="T4" s="0" t="s">
        <v>41</v>
      </c>
      <c r="U4" s="0" t="s">
        <v>41</v>
      </c>
      <c r="V4" s="0" t="s">
        <v>42</v>
      </c>
      <c r="W4" s="0" t="s">
        <v>43</v>
      </c>
    </row>
    <row r="5" customFormat="false" ht="15" hidden="false" customHeight="false" outlineLevel="0" collapsed="false">
      <c r="A5" s="0" t="s">
        <v>44</v>
      </c>
      <c r="B5" s="0" t="s">
        <v>45</v>
      </c>
      <c r="C5" s="0" t="s">
        <v>46</v>
      </c>
      <c r="D5" s="0" t="s">
        <v>47</v>
      </c>
      <c r="E5" s="0" t="s">
        <v>48</v>
      </c>
      <c r="F5" s="0" t="n">
        <v>74000</v>
      </c>
      <c r="G5" s="0" t="n">
        <v>74000</v>
      </c>
      <c r="H5" s="0" t="n">
        <v>7400</v>
      </c>
      <c r="I5" s="0" t="n">
        <v>2500</v>
      </c>
      <c r="J5" s="0" t="n">
        <v>83900</v>
      </c>
      <c r="K5" s="0" t="n">
        <v>1700</v>
      </c>
      <c r="L5" s="0" t="n">
        <v>200</v>
      </c>
      <c r="M5" s="0" t="n">
        <v>200</v>
      </c>
      <c r="N5" s="0" t="n">
        <v>18900</v>
      </c>
      <c r="O5" s="0" t="n">
        <v>0</v>
      </c>
      <c r="P5" s="0" t="n">
        <v>1500</v>
      </c>
      <c r="Q5" s="0" t="n">
        <v>22300</v>
      </c>
      <c r="R5" s="0" t="n">
        <v>61600</v>
      </c>
      <c r="S5" s="0" t="s">
        <v>49</v>
      </c>
      <c r="T5" s="0" t="s">
        <v>50</v>
      </c>
      <c r="U5" s="0" t="s">
        <v>50</v>
      </c>
      <c r="V5" s="0" t="s">
        <v>51</v>
      </c>
    </row>
    <row r="6" customFormat="false" ht="15" hidden="false" customHeight="false" outlineLevel="0" collapsed="false">
      <c r="A6" s="3" t="s">
        <v>52</v>
      </c>
      <c r="B6" s="3" t="s">
        <v>53</v>
      </c>
      <c r="C6" s="3" t="s">
        <v>53</v>
      </c>
      <c r="D6" s="3" t="s">
        <v>54</v>
      </c>
      <c r="E6" s="3" t="s">
        <v>55</v>
      </c>
      <c r="F6" s="3"/>
      <c r="G6" s="3" t="n">
        <v>110000</v>
      </c>
      <c r="H6" s="3" t="n">
        <v>11000</v>
      </c>
      <c r="I6" s="3" t="n">
        <v>3000</v>
      </c>
      <c r="J6" s="3" t="n">
        <v>124000</v>
      </c>
      <c r="K6" s="3" t="n">
        <v>1700</v>
      </c>
      <c r="L6" s="3" t="n">
        <v>200</v>
      </c>
      <c r="M6" s="3" t="n">
        <v>200</v>
      </c>
      <c r="N6" s="3" t="n">
        <v>33660</v>
      </c>
      <c r="O6" s="3" t="n">
        <v>0</v>
      </c>
      <c r="P6" s="3" t="n">
        <v>0</v>
      </c>
      <c r="Q6" s="3" t="n">
        <v>35560</v>
      </c>
      <c r="R6" s="3" t="n">
        <v>88440</v>
      </c>
      <c r="S6" s="3" t="s">
        <v>56</v>
      </c>
      <c r="T6" s="3" t="s">
        <v>57</v>
      </c>
      <c r="U6" s="3" t="s">
        <v>57</v>
      </c>
      <c r="V6" s="3" t="s">
        <v>29</v>
      </c>
      <c r="W6" s="3"/>
    </row>
    <row r="7" customFormat="false" ht="15" hidden="false" customHeight="false" outlineLevel="0" collapsed="false">
      <c r="A7" s="0" t="s">
        <v>58</v>
      </c>
      <c r="B7" s="0" t="s">
        <v>59</v>
      </c>
      <c r="C7" s="0" t="s">
        <v>59</v>
      </c>
      <c r="D7" s="0" t="s">
        <v>60</v>
      </c>
      <c r="E7" s="0" t="s">
        <v>61</v>
      </c>
      <c r="F7" s="0" t="n">
        <v>45000</v>
      </c>
      <c r="G7" s="0" t="n">
        <v>45000</v>
      </c>
      <c r="H7" s="0" t="n">
        <v>4500</v>
      </c>
      <c r="I7" s="0" t="n">
        <v>1500</v>
      </c>
      <c r="J7" s="0" t="n">
        <v>51000</v>
      </c>
      <c r="K7" s="0" t="n">
        <v>500</v>
      </c>
      <c r="L7" s="0" t="n">
        <v>200</v>
      </c>
      <c r="M7" s="0" t="n">
        <v>200</v>
      </c>
      <c r="N7" s="0" t="n">
        <v>7650</v>
      </c>
      <c r="O7" s="0" t="n">
        <v>0</v>
      </c>
      <c r="P7" s="0" t="n">
        <v>0</v>
      </c>
      <c r="Q7" s="0" t="n">
        <v>8350</v>
      </c>
      <c r="R7" s="0" t="n">
        <v>42650</v>
      </c>
      <c r="S7" s="0" t="s">
        <v>27</v>
      </c>
      <c r="T7" s="0" t="s">
        <v>62</v>
      </c>
      <c r="U7" s="0" t="s">
        <v>62</v>
      </c>
      <c r="V7" s="0" t="s">
        <v>29</v>
      </c>
      <c r="W7" s="0" t="s">
        <v>63</v>
      </c>
    </row>
    <row r="8" customFormat="false" ht="15" hidden="false" customHeight="false" outlineLevel="0" collapsed="false">
      <c r="A8" s="4" t="s">
        <v>64</v>
      </c>
      <c r="B8" s="4" t="s">
        <v>65</v>
      </c>
      <c r="C8" s="4" t="s">
        <v>66</v>
      </c>
      <c r="D8" s="4" t="s">
        <v>67</v>
      </c>
      <c r="E8" s="4" t="s">
        <v>68</v>
      </c>
      <c r="F8" s="4" t="n">
        <v>78000</v>
      </c>
      <c r="G8" s="4" t="n">
        <v>78000</v>
      </c>
      <c r="H8" s="4" t="n">
        <v>7800</v>
      </c>
      <c r="I8" s="4" t="n">
        <v>2500</v>
      </c>
      <c r="J8" s="4" t="n">
        <v>88300</v>
      </c>
      <c r="K8" s="4" t="n">
        <v>1700</v>
      </c>
      <c r="L8" s="4" t="n">
        <v>200</v>
      </c>
      <c r="M8" s="4" t="n">
        <v>200</v>
      </c>
      <c r="N8" s="4" t="n">
        <v>20700</v>
      </c>
      <c r="O8" s="4" t="n">
        <v>3000</v>
      </c>
      <c r="P8" s="4" t="n">
        <v>0</v>
      </c>
      <c r="Q8" s="4" t="n">
        <v>25600</v>
      </c>
      <c r="R8" s="4" t="n">
        <v>99999</v>
      </c>
      <c r="S8" s="4" t="s">
        <v>34</v>
      </c>
      <c r="T8" s="4" t="s">
        <v>69</v>
      </c>
      <c r="U8" s="4" t="s">
        <v>69</v>
      </c>
      <c r="V8" s="4" t="s">
        <v>29</v>
      </c>
      <c r="W8" s="4"/>
    </row>
    <row r="9" customFormat="false" ht="15" hidden="false" customHeight="false" outlineLevel="0" collapsed="false">
      <c r="A9" s="0" t="s">
        <v>70</v>
      </c>
      <c r="B9" s="0" t="s">
        <v>71</v>
      </c>
      <c r="C9" s="0" t="s">
        <v>71</v>
      </c>
      <c r="D9" s="0" t="s">
        <v>25</v>
      </c>
      <c r="E9" s="0" t="s">
        <v>26</v>
      </c>
      <c r="F9" s="0" t="n">
        <v>92000</v>
      </c>
      <c r="G9" s="0" t="n">
        <v>92000</v>
      </c>
      <c r="H9" s="0" t="n">
        <v>9200</v>
      </c>
      <c r="I9" s="0" t="n">
        <v>3000</v>
      </c>
      <c r="J9" s="0" t="n">
        <v>104200</v>
      </c>
      <c r="K9" s="0" t="n">
        <v>1700</v>
      </c>
      <c r="L9" s="0" t="n">
        <v>200</v>
      </c>
      <c r="M9" s="0" t="n">
        <v>400</v>
      </c>
      <c r="N9" s="0" t="n">
        <v>26460</v>
      </c>
      <c r="O9" s="0" t="n">
        <v>0</v>
      </c>
      <c r="P9" s="0" t="n">
        <v>2000</v>
      </c>
      <c r="Q9" s="0" t="n">
        <v>30760</v>
      </c>
      <c r="R9" s="0" t="n">
        <v>73440</v>
      </c>
      <c r="S9" s="0" t="s">
        <v>72</v>
      </c>
      <c r="T9" s="0" t="s">
        <v>73</v>
      </c>
      <c r="U9" s="0" t="s">
        <v>73</v>
      </c>
      <c r="V9" s="0" t="s">
        <v>74</v>
      </c>
      <c r="W9" s="0" t="s">
        <v>75</v>
      </c>
    </row>
    <row r="10" customFormat="false" ht="15" hidden="false" customHeight="false" outlineLevel="0" collapsed="false">
      <c r="A10" s="3" t="s">
        <v>76</v>
      </c>
      <c r="B10" s="3" t="s">
        <v>77</v>
      </c>
      <c r="C10" s="3" t="s">
        <v>77</v>
      </c>
      <c r="D10" s="3" t="s">
        <v>39</v>
      </c>
      <c r="E10" s="3" t="s">
        <v>39</v>
      </c>
      <c r="F10" s="3" t="n">
        <v>88000</v>
      </c>
      <c r="G10" s="3" t="n">
        <v>88000</v>
      </c>
      <c r="H10" s="3" t="n">
        <v>8800</v>
      </c>
      <c r="I10" s="3" t="n">
        <v>3000</v>
      </c>
      <c r="J10" s="3" t="n">
        <v>99800</v>
      </c>
      <c r="K10" s="3"/>
      <c r="L10" s="3"/>
      <c r="M10" s="3"/>
      <c r="N10" s="3"/>
      <c r="O10" s="3" t="n">
        <v>0</v>
      </c>
      <c r="P10" s="3" t="n">
        <v>0</v>
      </c>
      <c r="Q10" s="3"/>
      <c r="R10" s="3" t="n">
        <v>99800</v>
      </c>
      <c r="S10" s="3" t="s">
        <v>49</v>
      </c>
      <c r="T10" s="3" t="s">
        <v>78</v>
      </c>
      <c r="U10" s="3" t="s">
        <v>78</v>
      </c>
      <c r="V10" s="3" t="s">
        <v>29</v>
      </c>
      <c r="W10" s="3" t="s">
        <v>79</v>
      </c>
    </row>
    <row r="11" customFormat="false" ht="15" hidden="false" customHeight="false" outlineLevel="0" collapsed="false">
      <c r="A11" s="4" t="s">
        <v>80</v>
      </c>
      <c r="B11" s="4" t="s">
        <v>81</v>
      </c>
      <c r="C11" s="4" t="s">
        <v>81</v>
      </c>
      <c r="D11" s="4" t="s">
        <v>82</v>
      </c>
      <c r="E11" s="4" t="s">
        <v>83</v>
      </c>
      <c r="F11" s="4" t="n">
        <v>55000</v>
      </c>
      <c r="G11" s="4" t="n">
        <v>55000</v>
      </c>
      <c r="H11" s="4" t="n">
        <v>5500</v>
      </c>
      <c r="I11" s="4" t="n">
        <v>2000</v>
      </c>
      <c r="J11" s="4" t="n">
        <v>62500</v>
      </c>
      <c r="K11" s="4" t="n">
        <v>1700</v>
      </c>
      <c r="L11" s="4" t="n">
        <v>200</v>
      </c>
      <c r="M11" s="4" t="n">
        <v>200</v>
      </c>
      <c r="N11" s="4" t="n">
        <v>11550</v>
      </c>
      <c r="O11" s="4" t="n">
        <v>0</v>
      </c>
      <c r="P11" s="4" t="n">
        <v>0</v>
      </c>
      <c r="Q11" s="4" t="n">
        <v>13650</v>
      </c>
      <c r="R11" s="4" t="n">
        <v>48850</v>
      </c>
      <c r="S11" s="4" t="s">
        <v>27</v>
      </c>
      <c r="T11" s="4" t="s">
        <v>84</v>
      </c>
      <c r="U11" s="4" t="s">
        <v>85</v>
      </c>
      <c r="V11" s="4" t="s">
        <v>29</v>
      </c>
      <c r="W11" s="4"/>
    </row>
    <row r="12" customFormat="false" ht="15" hidden="false" customHeight="false" outlineLevel="0" collapsed="false">
      <c r="A12" s="0" t="s">
        <v>86</v>
      </c>
      <c r="B12" s="0" t="s">
        <v>87</v>
      </c>
      <c r="C12" s="0" t="s">
        <v>87</v>
      </c>
      <c r="D12" s="0" t="s">
        <v>25</v>
      </c>
      <c r="E12" s="0" t="s">
        <v>39</v>
      </c>
      <c r="F12" s="0" t="n">
        <v>68000</v>
      </c>
      <c r="G12" s="0" t="n">
        <v>68000</v>
      </c>
      <c r="H12" s="0" t="n">
        <v>6800</v>
      </c>
      <c r="I12" s="0" t="n">
        <v>2500</v>
      </c>
      <c r="J12" s="0" t="n">
        <v>77300</v>
      </c>
      <c r="K12" s="0" t="n">
        <v>1700</v>
      </c>
      <c r="L12" s="0" t="n">
        <v>200</v>
      </c>
      <c r="M12" s="0" t="n">
        <v>200</v>
      </c>
      <c r="N12" s="0" t="n">
        <v>16380</v>
      </c>
      <c r="O12" s="0" t="n">
        <v>5000</v>
      </c>
      <c r="P12" s="0" t="n">
        <v>0</v>
      </c>
      <c r="Q12" s="0" t="n">
        <v>23480</v>
      </c>
      <c r="R12" s="0" t="n">
        <v>53820</v>
      </c>
      <c r="S12" s="0" t="s">
        <v>88</v>
      </c>
      <c r="T12" s="0" t="s">
        <v>89</v>
      </c>
      <c r="U12" s="0" t="s">
        <v>89</v>
      </c>
      <c r="V12" s="0" t="s">
        <v>29</v>
      </c>
      <c r="W12" s="0" t="s">
        <v>90</v>
      </c>
    </row>
    <row r="13" customFormat="false" ht="15" hidden="false" customHeight="false" outlineLevel="0" collapsed="false">
      <c r="A13" s="4" t="s">
        <v>91</v>
      </c>
      <c r="B13" s="4" t="s">
        <v>92</v>
      </c>
      <c r="C13" s="4" t="s">
        <v>92</v>
      </c>
      <c r="D13" s="4" t="s">
        <v>67</v>
      </c>
      <c r="E13" s="4" t="s">
        <v>68</v>
      </c>
      <c r="F13" s="4" t="n">
        <v>58000</v>
      </c>
      <c r="G13" s="4" t="n">
        <v>58000</v>
      </c>
      <c r="H13" s="4" t="n">
        <v>5800</v>
      </c>
      <c r="I13" s="4" t="n">
        <v>2000</v>
      </c>
      <c r="J13" s="4" t="n">
        <v>65800</v>
      </c>
      <c r="K13" s="4" t="n">
        <v>1700</v>
      </c>
      <c r="L13" s="4" t="n">
        <v>200</v>
      </c>
      <c r="M13" s="4" t="n">
        <v>200</v>
      </c>
      <c r="N13" s="4" t="n">
        <v>12870</v>
      </c>
      <c r="O13" s="4" t="n">
        <v>2000</v>
      </c>
      <c r="P13" s="4" t="n">
        <v>0</v>
      </c>
      <c r="Q13" s="4" t="n">
        <v>16970</v>
      </c>
      <c r="R13" s="4" t="n">
        <v>48830</v>
      </c>
      <c r="S13" s="4" t="s">
        <v>34</v>
      </c>
      <c r="T13" s="4" t="s">
        <v>93</v>
      </c>
      <c r="U13" s="4" t="s">
        <v>93</v>
      </c>
      <c r="V13" s="4" t="s">
        <v>94</v>
      </c>
      <c r="W13" s="4"/>
    </row>
    <row r="14" customFormat="false" ht="15" hidden="false" customHeight="false" outlineLevel="0" collapsed="false">
      <c r="A14" s="3" t="s">
        <v>95</v>
      </c>
      <c r="B14" s="3" t="s">
        <v>96</v>
      </c>
      <c r="C14" s="3" t="s">
        <v>96</v>
      </c>
      <c r="D14" s="3" t="s">
        <v>60</v>
      </c>
      <c r="E14" s="3" t="s">
        <v>61</v>
      </c>
      <c r="F14" s="3" t="n">
        <v>42000</v>
      </c>
      <c r="G14" s="3" t="n">
        <v>42000</v>
      </c>
      <c r="H14" s="3" t="n">
        <v>4200</v>
      </c>
      <c r="I14" s="3" t="n">
        <v>1500</v>
      </c>
      <c r="J14" s="3" t="n">
        <v>47700</v>
      </c>
      <c r="K14" s="3" t="n">
        <v>1700</v>
      </c>
      <c r="L14" s="3" t="n">
        <v>200</v>
      </c>
      <c r="M14" s="3" t="n">
        <v>200</v>
      </c>
      <c r="N14" s="3" t="n">
        <v>6930</v>
      </c>
      <c r="O14" s="3" t="n">
        <v>0</v>
      </c>
      <c r="P14" s="3" t="n">
        <v>500</v>
      </c>
      <c r="Q14" s="3" t="n">
        <v>9330</v>
      </c>
      <c r="R14" s="3" t="n">
        <v>38370</v>
      </c>
      <c r="S14" s="3" t="s">
        <v>97</v>
      </c>
      <c r="T14" s="3" t="s">
        <v>98</v>
      </c>
      <c r="U14" s="3" t="s">
        <v>98</v>
      </c>
      <c r="V14" s="3" t="s">
        <v>29</v>
      </c>
      <c r="W14" s="3"/>
    </row>
    <row r="15" customFormat="false" ht="15" hidden="false" customHeight="false" outlineLevel="0" collapsed="false">
      <c r="A15" s="0" t="s">
        <v>99</v>
      </c>
      <c r="B15" s="0" t="s">
        <v>100</v>
      </c>
      <c r="C15" s="0" t="s">
        <v>100</v>
      </c>
      <c r="D15" s="0" t="s">
        <v>39</v>
      </c>
      <c r="E15" s="0" t="s">
        <v>39</v>
      </c>
      <c r="F15" s="0" t="n">
        <v>105000</v>
      </c>
      <c r="G15" s="0" t="n">
        <v>105000</v>
      </c>
      <c r="H15" s="0" t="n">
        <v>10500</v>
      </c>
      <c r="I15" s="0" t="n">
        <v>3000</v>
      </c>
      <c r="J15" s="0" t="n">
        <v>118500</v>
      </c>
      <c r="K15" s="0" t="n">
        <v>1700</v>
      </c>
      <c r="L15" s="0" t="n">
        <v>200</v>
      </c>
      <c r="M15" s="0" t="n">
        <v>200</v>
      </c>
      <c r="N15" s="0" t="n">
        <v>31050</v>
      </c>
      <c r="O15" s="0" t="n">
        <v>8000</v>
      </c>
      <c r="P15" s="0" t="n">
        <v>0</v>
      </c>
      <c r="Q15" s="0" t="n">
        <v>41150</v>
      </c>
      <c r="R15" s="0" t="n">
        <v>77350</v>
      </c>
      <c r="S15" s="0" t="s">
        <v>101</v>
      </c>
      <c r="T15" s="0" t="s">
        <v>102</v>
      </c>
      <c r="U15" s="0" t="s">
        <v>102</v>
      </c>
      <c r="V15" s="0" t="s">
        <v>29</v>
      </c>
    </row>
    <row r="16" customFormat="false" ht="15" hidden="false" customHeight="false" outlineLevel="0" collapsed="false">
      <c r="A16" s="0" t="s">
        <v>103</v>
      </c>
      <c r="B16" s="0" t="s">
        <v>104</v>
      </c>
      <c r="C16" s="0" t="s">
        <v>104</v>
      </c>
      <c r="D16" s="0" t="s">
        <v>105</v>
      </c>
      <c r="E16" s="0" t="s">
        <v>106</v>
      </c>
      <c r="F16" s="0" t="n">
        <v>38000</v>
      </c>
      <c r="G16" s="0" t="n">
        <v>38000</v>
      </c>
      <c r="H16" s="0" t="n">
        <v>3800</v>
      </c>
      <c r="I16" s="0" t="n">
        <v>1500</v>
      </c>
      <c r="J16" s="0" t="n">
        <v>43300</v>
      </c>
      <c r="K16" s="0" t="n">
        <v>1700</v>
      </c>
      <c r="L16" s="0" t="n">
        <v>200</v>
      </c>
      <c r="M16" s="0" t="n">
        <v>200</v>
      </c>
      <c r="N16" s="0" t="n">
        <v>5145</v>
      </c>
      <c r="O16" s="0" t="n">
        <v>20000</v>
      </c>
      <c r="P16" s="0" t="n">
        <v>0</v>
      </c>
      <c r="Q16" s="0" t="n">
        <v>27245</v>
      </c>
      <c r="R16" s="0" t="n">
        <v>-3945</v>
      </c>
      <c r="S16" s="0" t="s">
        <v>27</v>
      </c>
      <c r="T16" s="0" t="s">
        <v>107</v>
      </c>
      <c r="U16" s="0" t="s">
        <v>107</v>
      </c>
      <c r="V16" s="0" t="s">
        <v>29</v>
      </c>
      <c r="W16" s="0" t="s">
        <v>108</v>
      </c>
    </row>
    <row r="17" customFormat="false" ht="15" hidden="false" customHeight="false" outlineLevel="0" collapsed="false">
      <c r="A17" s="4" t="s">
        <v>109</v>
      </c>
      <c r="B17" s="4" t="s">
        <v>110</v>
      </c>
      <c r="C17" s="4" t="s">
        <v>110</v>
      </c>
      <c r="D17" s="4" t="s">
        <v>60</v>
      </c>
      <c r="E17" s="4" t="s">
        <v>61</v>
      </c>
      <c r="F17" s="4" t="n">
        <v>50000</v>
      </c>
      <c r="G17" s="4" t="n">
        <v>50000</v>
      </c>
      <c r="H17" s="4" t="n">
        <v>5000</v>
      </c>
      <c r="I17" s="4" t="n">
        <v>2000</v>
      </c>
      <c r="J17" s="4" t="n">
        <v>57000</v>
      </c>
      <c r="K17" s="4" t="n">
        <v>1700</v>
      </c>
      <c r="L17" s="4" t="n">
        <v>200</v>
      </c>
      <c r="M17" s="4" t="n">
        <v>200</v>
      </c>
      <c r="N17" s="4" t="n">
        <v>9450</v>
      </c>
      <c r="O17" s="4" t="n">
        <v>0</v>
      </c>
      <c r="P17" s="4" t="n">
        <v>0</v>
      </c>
      <c r="Q17" s="4" t="n">
        <v>11550</v>
      </c>
      <c r="R17" s="4" t="n">
        <v>45450</v>
      </c>
      <c r="S17" s="4"/>
      <c r="T17" s="4"/>
      <c r="U17" s="4"/>
      <c r="V17" s="4" t="s">
        <v>29</v>
      </c>
      <c r="W17" s="4" t="s">
        <v>111</v>
      </c>
    </row>
    <row r="18" customFormat="false" ht="15" hidden="false" customHeight="false" outlineLevel="0" collapsed="false">
      <c r="A18" s="4" t="s">
        <v>36</v>
      </c>
      <c r="B18" s="4" t="s">
        <v>112</v>
      </c>
      <c r="C18" s="4" t="s">
        <v>112</v>
      </c>
      <c r="D18" s="4" t="s">
        <v>39</v>
      </c>
      <c r="E18" s="4" t="s">
        <v>39</v>
      </c>
      <c r="F18" s="4" t="n">
        <v>72000</v>
      </c>
      <c r="G18" s="4" t="n">
        <v>72000</v>
      </c>
      <c r="H18" s="4" t="n">
        <v>7200</v>
      </c>
      <c r="I18" s="4" t="n">
        <v>2500</v>
      </c>
      <c r="J18" s="4" t="n">
        <v>81700</v>
      </c>
      <c r="K18" s="4" t="n">
        <v>1700</v>
      </c>
      <c r="L18" s="4" t="n">
        <v>200</v>
      </c>
      <c r="M18" s="4" t="n">
        <v>200</v>
      </c>
      <c r="N18" s="4" t="n">
        <v>17550</v>
      </c>
      <c r="O18" s="4" t="n">
        <v>0</v>
      </c>
      <c r="P18" s="4" t="n">
        <v>0</v>
      </c>
      <c r="Q18" s="4" t="n">
        <v>19650</v>
      </c>
      <c r="R18" s="4" t="n">
        <v>62050</v>
      </c>
      <c r="S18" s="4" t="s">
        <v>34</v>
      </c>
      <c r="T18" s="4" t="s">
        <v>113</v>
      </c>
      <c r="U18" s="4" t="s">
        <v>113</v>
      </c>
      <c r="V18" s="4" t="s">
        <v>29</v>
      </c>
      <c r="W18" s="4" t="s">
        <v>114</v>
      </c>
    </row>
    <row r="20" customFormat="false" ht="15" hidden="false" customHeight="false" outlineLevel="0" collapsed="false">
      <c r="A20" s="4" t="s">
        <v>64</v>
      </c>
      <c r="B20" s="4" t="s">
        <v>65</v>
      </c>
      <c r="C20" s="4" t="s">
        <v>65</v>
      </c>
      <c r="D20" s="4" t="s">
        <v>67</v>
      </c>
      <c r="E20" s="4" t="s">
        <v>68</v>
      </c>
      <c r="F20" s="4" t="n">
        <v>78000</v>
      </c>
      <c r="G20" s="4" t="n">
        <v>78000</v>
      </c>
      <c r="H20" s="4" t="n">
        <v>7800</v>
      </c>
      <c r="I20" s="4" t="n">
        <v>2500</v>
      </c>
      <c r="J20" s="4" t="n">
        <v>88300</v>
      </c>
      <c r="K20" s="4" t="n">
        <v>1700</v>
      </c>
      <c r="L20" s="4" t="n">
        <v>200</v>
      </c>
      <c r="M20" s="4" t="n">
        <v>200</v>
      </c>
      <c r="N20" s="4" t="n">
        <v>20700</v>
      </c>
      <c r="O20" s="4" t="n">
        <v>0</v>
      </c>
      <c r="P20" s="4" t="n">
        <v>0</v>
      </c>
      <c r="Q20" s="4" t="n">
        <v>22800</v>
      </c>
      <c r="R20" s="4" t="n">
        <v>65500</v>
      </c>
      <c r="S20" s="4" t="s">
        <v>34</v>
      </c>
      <c r="T20" s="4" t="s">
        <v>69</v>
      </c>
      <c r="U20" s="4" t="s">
        <v>69</v>
      </c>
      <c r="V20" s="4" t="s">
        <v>29</v>
      </c>
      <c r="W20" s="4" t="s">
        <v>115</v>
      </c>
    </row>
    <row r="21" customFormat="false" ht="15" hidden="false" customHeight="false" outlineLevel="0" collapsed="false">
      <c r="A21" s="4" t="s">
        <v>116</v>
      </c>
      <c r="B21" s="4" t="s">
        <v>117</v>
      </c>
      <c r="C21" s="4" t="s">
        <v>118</v>
      </c>
      <c r="D21" s="4" t="s">
        <v>33</v>
      </c>
      <c r="E21" s="4" t="s">
        <v>33</v>
      </c>
      <c r="F21" s="4" t="n">
        <v>61000</v>
      </c>
      <c r="G21" s="4" t="n">
        <v>61000</v>
      </c>
      <c r="H21" s="4" t="n">
        <v>6100</v>
      </c>
      <c r="I21" s="4" t="n">
        <v>2000</v>
      </c>
      <c r="J21" s="4" t="n">
        <v>69100</v>
      </c>
      <c r="K21" s="4" t="n">
        <v>1700</v>
      </c>
      <c r="L21" s="4" t="n">
        <v>200</v>
      </c>
      <c r="M21" s="4" t="n">
        <v>200</v>
      </c>
      <c r="N21" s="4" t="n">
        <v>13860</v>
      </c>
      <c r="O21" s="4" t="n">
        <v>0</v>
      </c>
      <c r="P21" s="4" t="n">
        <v>800</v>
      </c>
      <c r="Q21" s="4" t="n">
        <v>16760</v>
      </c>
      <c r="R21" s="4" t="n">
        <v>52340</v>
      </c>
      <c r="S21" s="4" t="s">
        <v>27</v>
      </c>
      <c r="T21" s="4" t="s">
        <v>119</v>
      </c>
      <c r="U21" s="4" t="s">
        <v>119</v>
      </c>
      <c r="V21" s="4" t="s">
        <v>29</v>
      </c>
      <c r="W21" s="4"/>
    </row>
    <row r="22" customFormat="false" ht="15" hidden="false" customHeight="false" outlineLevel="0" collapsed="false">
      <c r="A22" s="4" t="s">
        <v>120</v>
      </c>
      <c r="B22" s="4" t="s">
        <v>121</v>
      </c>
      <c r="C22" s="4" t="s">
        <v>121</v>
      </c>
      <c r="D22" s="4" t="s">
        <v>25</v>
      </c>
      <c r="E22" s="4" t="s">
        <v>26</v>
      </c>
      <c r="F22" s="4" t="n">
        <v>79000</v>
      </c>
      <c r="G22" s="4" t="n">
        <v>79000</v>
      </c>
      <c r="H22" s="4" t="n">
        <v>7900</v>
      </c>
      <c r="I22" s="4" t="n">
        <v>2500</v>
      </c>
      <c r="J22" s="4" t="n">
        <v>89400</v>
      </c>
      <c r="K22" s="4" t="n">
        <v>1700</v>
      </c>
      <c r="L22" s="4" t="n">
        <v>200</v>
      </c>
      <c r="M22" s="4" t="n">
        <v>200</v>
      </c>
      <c r="N22" s="4" t="n">
        <v>21060</v>
      </c>
      <c r="O22" s="4" t="n">
        <v>4000</v>
      </c>
      <c r="P22" s="4" t="n">
        <v>0</v>
      </c>
      <c r="Q22" s="4" t="n">
        <v>27160</v>
      </c>
      <c r="R22" s="4" t="n">
        <v>62240</v>
      </c>
      <c r="S22" s="4" t="s">
        <v>56</v>
      </c>
      <c r="T22" s="4" t="s">
        <v>122</v>
      </c>
      <c r="U22" s="4" t="s">
        <v>122</v>
      </c>
      <c r="V22" s="4" t="s">
        <v>29</v>
      </c>
      <c r="W22" s="4"/>
    </row>
    <row r="23" customFormat="false" ht="15" hidden="false" customHeight="false" outlineLevel="0" collapsed="false">
      <c r="A23" s="4" t="s">
        <v>123</v>
      </c>
      <c r="B23" s="4" t="s">
        <v>124</v>
      </c>
      <c r="C23" s="4" t="s">
        <v>124</v>
      </c>
      <c r="D23" s="4" t="s">
        <v>82</v>
      </c>
      <c r="E23" s="4" t="s">
        <v>83</v>
      </c>
      <c r="F23" s="4" t="n">
        <v>53000</v>
      </c>
      <c r="G23" s="4" t="n">
        <v>53000</v>
      </c>
      <c r="H23" s="4" t="n">
        <v>5300</v>
      </c>
      <c r="I23" s="4" t="n">
        <v>2000</v>
      </c>
      <c r="J23" s="4" t="n">
        <v>60300</v>
      </c>
      <c r="K23" s="4" t="n">
        <v>1700</v>
      </c>
      <c r="L23" s="4" t="n">
        <v>200</v>
      </c>
      <c r="M23" s="4" t="n">
        <v>200</v>
      </c>
      <c r="N23" s="4" t="n">
        <v>10710</v>
      </c>
      <c r="O23" s="4" t="n">
        <v>0</v>
      </c>
      <c r="P23" s="4" t="n">
        <v>0</v>
      </c>
      <c r="Q23" s="4" t="n">
        <v>12810</v>
      </c>
      <c r="R23" s="4" t="n">
        <v>47490</v>
      </c>
      <c r="S23" s="4" t="s">
        <v>97</v>
      </c>
      <c r="T23" s="4" t="s">
        <v>125</v>
      </c>
      <c r="U23" s="4" t="s">
        <v>125</v>
      </c>
      <c r="V23" s="4" t="s">
        <v>126</v>
      </c>
      <c r="W23" s="4" t="s">
        <v>127</v>
      </c>
    </row>
    <row r="24" customFormat="false" ht="15" hidden="false" customHeight="false" outlineLevel="0" collapsed="false">
      <c r="A24" s="0" t="s">
        <v>128</v>
      </c>
      <c r="B24" s="0" t="s">
        <v>129</v>
      </c>
      <c r="C24" s="0" t="s">
        <v>129</v>
      </c>
      <c r="D24" s="0" t="s">
        <v>47</v>
      </c>
      <c r="E24" s="0" t="s">
        <v>48</v>
      </c>
      <c r="F24" s="0" t="n">
        <v>69000</v>
      </c>
      <c r="G24" s="0" t="n">
        <v>69000</v>
      </c>
      <c r="H24" s="0" t="n">
        <v>6900</v>
      </c>
      <c r="I24" s="0" t="n">
        <v>2500</v>
      </c>
      <c r="J24" s="0" t="n">
        <v>78400</v>
      </c>
      <c r="K24" s="0" t="n">
        <v>1700</v>
      </c>
      <c r="L24" s="0" t="n">
        <v>200</v>
      </c>
      <c r="M24" s="0" t="n">
        <v>200</v>
      </c>
      <c r="N24" s="0" t="n">
        <v>17010</v>
      </c>
      <c r="O24" s="0" t="n">
        <v>0</v>
      </c>
      <c r="P24" s="0" t="n">
        <v>1200</v>
      </c>
      <c r="Q24" s="0" t="n">
        <v>20310</v>
      </c>
      <c r="R24" s="0" t="n">
        <v>58090</v>
      </c>
      <c r="S24" s="0" t="s">
        <v>40</v>
      </c>
      <c r="T24" s="0" t="s">
        <v>130</v>
      </c>
      <c r="U24" s="0" t="s">
        <v>130</v>
      </c>
      <c r="V24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5" t="s">
        <v>131</v>
      </c>
    </row>
    <row r="3" customFormat="false" ht="15" hidden="false" customHeight="false" outlineLevel="0" collapsed="false">
      <c r="A3" s="6" t="s">
        <v>132</v>
      </c>
      <c r="B3" s="6" t="s">
        <v>133</v>
      </c>
      <c r="C3" s="6" t="s">
        <v>134</v>
      </c>
      <c r="D3" s="6" t="s">
        <v>135</v>
      </c>
      <c r="E3" s="6" t="s">
        <v>136</v>
      </c>
    </row>
    <row r="4" customFormat="false" ht="15" hidden="false" customHeight="false" outlineLevel="0" collapsed="false">
      <c r="A4" s="0" t="s">
        <v>25</v>
      </c>
      <c r="B4" s="0" t="n">
        <v>3</v>
      </c>
      <c r="C4" s="0" t="n">
        <v>290100</v>
      </c>
      <c r="D4" s="0" t="n">
        <v>83540</v>
      </c>
      <c r="E4" s="0" t="n">
        <v>202700</v>
      </c>
    </row>
    <row r="5" customFormat="false" ht="15" hidden="false" customHeight="false" outlineLevel="0" collapsed="false">
      <c r="A5" s="0" t="s">
        <v>33</v>
      </c>
      <c r="B5" s="0" t="n">
        <v>2</v>
      </c>
      <c r="C5" s="0" t="n">
        <v>139300</v>
      </c>
      <c r="D5" s="0" t="n">
        <v>32940</v>
      </c>
      <c r="E5" s="0" t="n">
        <v>106360</v>
      </c>
    </row>
    <row r="6" customFormat="false" ht="15" hidden="false" customHeight="false" outlineLevel="0" collapsed="false">
      <c r="A6" s="0" t="s">
        <v>39</v>
      </c>
      <c r="B6" s="0" t="n">
        <v>4</v>
      </c>
      <c r="C6" s="0" t="n">
        <v>407500</v>
      </c>
      <c r="D6" s="0" t="n">
        <v>121150</v>
      </c>
      <c r="E6" s="0" t="n">
        <v>307700</v>
      </c>
    </row>
    <row r="7" customFormat="false" ht="15" hidden="false" customHeight="false" outlineLevel="0" collapsed="false">
      <c r="A7" s="0" t="s">
        <v>47</v>
      </c>
      <c r="B7" s="0" t="n">
        <v>2</v>
      </c>
      <c r="C7" s="0" t="n">
        <v>162300</v>
      </c>
      <c r="D7" s="0" t="n">
        <v>42610</v>
      </c>
      <c r="E7" s="0" t="n">
        <v>119690</v>
      </c>
    </row>
    <row r="8" customFormat="false" ht="15" hidden="false" customHeight="false" outlineLevel="0" collapsed="false">
      <c r="A8" s="0" t="s">
        <v>54</v>
      </c>
      <c r="B8" s="0" t="n">
        <v>1</v>
      </c>
      <c r="C8" s="0" t="n">
        <v>124000</v>
      </c>
      <c r="D8" s="0" t="n">
        <v>35560</v>
      </c>
      <c r="E8" s="0" t="n">
        <v>88440</v>
      </c>
    </row>
    <row r="9" customFormat="false" ht="15" hidden="false" customHeight="false" outlineLevel="0" collapsed="false">
      <c r="A9" s="0" t="s">
        <v>60</v>
      </c>
      <c r="B9" s="0" t="n">
        <v>3</v>
      </c>
      <c r="C9" s="0" t="n">
        <v>155700</v>
      </c>
      <c r="D9" s="0" t="n">
        <v>29230</v>
      </c>
      <c r="E9" s="0" t="n">
        <v>120470</v>
      </c>
    </row>
    <row r="10" customFormat="false" ht="15" hidden="false" customHeight="false" outlineLevel="0" collapsed="false">
      <c r="A10" s="0" t="s">
        <v>67</v>
      </c>
      <c r="B10" s="0" t="n">
        <v>3</v>
      </c>
      <c r="C10" s="0" t="n">
        <v>242400</v>
      </c>
      <c r="D10" s="0" t="n">
        <v>65370</v>
      </c>
      <c r="E10" s="0" t="n">
        <v>177160</v>
      </c>
    </row>
    <row r="11" customFormat="false" ht="15" hidden="false" customHeight="false" outlineLevel="0" collapsed="false">
      <c r="A11" s="0" t="s">
        <v>82</v>
      </c>
      <c r="B11" s="0" t="n">
        <v>2</v>
      </c>
      <c r="C11" s="0" t="n">
        <v>122800</v>
      </c>
      <c r="D11" s="0" t="n">
        <v>26460</v>
      </c>
      <c r="E11" s="0" t="n">
        <v>96340</v>
      </c>
    </row>
    <row r="12" customFormat="false" ht="15" hidden="false" customHeight="false" outlineLevel="0" collapsed="false">
      <c r="A12" s="7" t="s">
        <v>105</v>
      </c>
      <c r="B12" s="7" t="n">
        <v>1</v>
      </c>
      <c r="C12" s="7" t="n">
        <v>43300</v>
      </c>
      <c r="D12" s="7" t="n">
        <v>27245</v>
      </c>
      <c r="E12" s="7" t="n">
        <v>-3945</v>
      </c>
    </row>
    <row r="13" customFormat="false" ht="15" hidden="false" customHeight="false" outlineLevel="0" collapsed="false">
      <c r="A13" s="8" t="s">
        <v>137</v>
      </c>
      <c r="B13" s="8" t="n">
        <f aca="false">SUM(B4:B12)</f>
        <v>21</v>
      </c>
      <c r="C13" s="8" t="n">
        <f aca="false">SUM(C4:C12)</f>
        <v>1687400</v>
      </c>
      <c r="D13" s="8" t="n">
        <f aca="false">SUM(D4:D12)</f>
        <v>464105</v>
      </c>
      <c r="E13" s="8" t="n">
        <f aca="false">SUM(E4:E12)</f>
        <v>1214915</v>
      </c>
    </row>
    <row r="15" customFormat="false" ht="15" hidden="false" customHeight="false" outlineLevel="0" collapsed="false">
      <c r="A15" s="9" t="s">
        <v>138</v>
      </c>
    </row>
    <row r="16" customFormat="false" ht="15" hidden="false" customHeight="false" outlineLevel="0" collapsed="false">
      <c r="A16" s="9" t="s">
        <v>139</v>
      </c>
    </row>
    <row r="17" customFormat="false" ht="15" hidden="false" customHeight="false" outlineLevel="0" collapsed="false">
      <c r="A17" s="9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0" t="s">
        <v>141</v>
      </c>
    </row>
    <row r="3" customFormat="false" ht="15" hidden="false" customHeight="false" outlineLevel="0" collapsed="false">
      <c r="A3" s="11" t="s">
        <v>142</v>
      </c>
      <c r="B3" s="11" t="s">
        <v>143</v>
      </c>
      <c r="C3" s="11" t="s">
        <v>144</v>
      </c>
      <c r="D3" s="11" t="s">
        <v>145</v>
      </c>
      <c r="E3" s="11" t="s">
        <v>146</v>
      </c>
      <c r="F3" s="11" t="s">
        <v>147</v>
      </c>
      <c r="G3" s="11" t="s">
        <v>148</v>
      </c>
    </row>
    <row r="4" customFormat="false" ht="15" hidden="false" customHeight="false" outlineLevel="0" collapsed="false">
      <c r="A4" s="0" t="s">
        <v>149</v>
      </c>
      <c r="B4" s="0" t="s">
        <v>150</v>
      </c>
      <c r="C4" s="0" t="s">
        <v>151</v>
      </c>
      <c r="D4" s="0" t="s">
        <v>152</v>
      </c>
      <c r="E4" s="0" t="s">
        <v>153</v>
      </c>
      <c r="F4" s="0" t="s">
        <v>154</v>
      </c>
      <c r="G4" s="0" t="s">
        <v>155</v>
      </c>
    </row>
    <row r="5" customFormat="false" ht="15" hidden="false" customHeight="false" outlineLevel="0" collapsed="false">
      <c r="A5" s="0" t="s">
        <v>156</v>
      </c>
      <c r="B5" s="0" t="s">
        <v>150</v>
      </c>
      <c r="C5" s="0" t="s">
        <v>157</v>
      </c>
      <c r="D5" s="0" t="s">
        <v>14</v>
      </c>
      <c r="E5" s="0" t="s">
        <v>158</v>
      </c>
      <c r="F5" s="0" t="s">
        <v>159</v>
      </c>
    </row>
    <row r="6" customFormat="false" ht="15" hidden="false" customHeight="false" outlineLevel="0" collapsed="false">
      <c r="A6" s="0" t="s">
        <v>160</v>
      </c>
      <c r="B6" s="0" t="s">
        <v>161</v>
      </c>
      <c r="C6" s="0" t="s">
        <v>162</v>
      </c>
      <c r="D6" s="0" t="s">
        <v>163</v>
      </c>
      <c r="E6" s="0" t="s">
        <v>164</v>
      </c>
      <c r="F6" s="0" t="s">
        <v>164</v>
      </c>
    </row>
    <row r="7" customFormat="false" ht="15" hidden="false" customHeight="false" outlineLevel="0" collapsed="false">
      <c r="A7" s="0" t="s">
        <v>165</v>
      </c>
      <c r="B7" s="0" t="s">
        <v>166</v>
      </c>
      <c r="C7" s="0" t="s">
        <v>167</v>
      </c>
      <c r="D7" s="0" t="s">
        <v>168</v>
      </c>
      <c r="E7" s="0" t="s">
        <v>169</v>
      </c>
      <c r="F7" s="0" t="s">
        <v>170</v>
      </c>
      <c r="G7" s="0" t="s">
        <v>171</v>
      </c>
    </row>
    <row r="8" customFormat="false" ht="15" hidden="false" customHeight="false" outlineLevel="0" collapsed="false">
      <c r="A8" s="0" t="s">
        <v>172</v>
      </c>
      <c r="B8" s="0" t="s">
        <v>150</v>
      </c>
      <c r="C8" s="0" t="s">
        <v>173</v>
      </c>
      <c r="D8" s="0" t="s">
        <v>10</v>
      </c>
      <c r="E8" s="0" t="s">
        <v>174</v>
      </c>
      <c r="F8" s="0" t="s">
        <v>175</v>
      </c>
      <c r="G8" s="0" t="s">
        <v>155</v>
      </c>
    </row>
    <row r="9" customFormat="false" ht="15" hidden="false" customHeight="false" outlineLevel="0" collapsed="false">
      <c r="C9" s="0" t="s">
        <v>176</v>
      </c>
      <c r="D9" s="0" t="s">
        <v>177</v>
      </c>
      <c r="E9" s="0" t="s">
        <v>178</v>
      </c>
      <c r="F9" s="0" t="s">
        <v>179</v>
      </c>
    </row>
    <row r="10" customFormat="false" ht="15" hidden="false" customHeight="false" outlineLevel="0" collapsed="false">
      <c r="A10" s="9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2026-06-04T07:18:09Z</dcterms:created>
  <dc:creator>openpyxl</dc:creator>
  <dc:description/>
  <dc:language>en-US</dc:language>
  <cp:lastModifiedBy/>
  <dcterms:modified xsi:type="dcterms:W3CDTF">2026-06-04T07:18:09Z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