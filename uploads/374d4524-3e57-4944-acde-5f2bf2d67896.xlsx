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 Ledger Q1-2024" sheetId="1" state="visible" r:id="rId3"/>
    <sheet name="VAT Recon" sheetId="2" state="visible" r:id="rId4"/>
    <sheet name="Supplier Ag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<sst xmlns="http://schemas.openxmlformats.org/spreadsheetml/2006/main" count="402" uniqueCount="277">
  <si>
    <t xml:space="preserve">Supplier Code</t>
  </si>
  <si>
    <t xml:space="preserve">SUPPLIER CODE</t>
  </si>
  <si>
    <t xml:space="preserve">Supplier Name</t>
  </si>
  <si>
    <t xml:space="preserve">Supp. Name (2)</t>
  </si>
  <si>
    <t xml:space="preserve">Invoice Date</t>
  </si>
  <si>
    <t xml:space="preserve">INV DATE (processed)</t>
  </si>
  <si>
    <t xml:space="preserve">Invoice No.</t>
  </si>
  <si>
    <t xml:space="preserve">Invoice #</t>
  </si>
  <si>
    <t xml:space="preserve">Due Date</t>
  </si>
  <si>
    <t xml:space="preserve">Amount (Gross)</t>
  </si>
  <si>
    <t xml:space="preserve">VAT</t>
  </si>
  <si>
    <t xml:space="preserve">VAT %</t>
  </si>
  <si>
    <t xml:space="preserve">Net Amount</t>
  </si>
  <si>
    <t xml:space="preserve">NET AMT (check)</t>
  </si>
  <si>
    <t xml:space="preserve">Payment Status</t>
  </si>
  <si>
    <t xml:space="preserve">Paid Date</t>
  </si>
  <si>
    <t xml:space="preserve">Payment Ref</t>
  </si>
  <si>
    <t xml:space="preserve">Approved By</t>
  </si>
  <si>
    <t xml:space="preserve">PO Number</t>
  </si>
  <si>
    <t xml:space="preserve">REMARKS</t>
  </si>
  <si>
    <t xml:space="preserve">SUP-001</t>
  </si>
  <si>
    <t xml:space="preserve">Kiprotich &amp; Sons Ltd</t>
  </si>
  <si>
    <t xml:space="preserve">Kiprotich &amp; Sons</t>
  </si>
  <si>
    <t xml:space="preserve">02/01/2024</t>
  </si>
  <si>
    <t xml:space="preserve">Jan 2 2024</t>
  </si>
  <si>
    <t xml:space="preserve">INV-2024-001</t>
  </si>
  <si>
    <t xml:space="preserve">01/02/2024</t>
  </si>
  <si>
    <t xml:space="preserve">16%</t>
  </si>
  <si>
    <t xml:space="preserve">PAID</t>
  </si>
  <si>
    <t xml:space="preserve">05/02/2024</t>
  </si>
  <si>
    <t xml:space="preserve">PAY-8821</t>
  </si>
  <si>
    <t xml:space="preserve">J. Mwangi</t>
  </si>
  <si>
    <t xml:space="preserve">PO-441</t>
  </si>
  <si>
    <t xml:space="preserve">SUP-002</t>
  </si>
  <si>
    <t xml:space="preserve">Achieng Enterprises</t>
  </si>
  <si>
    <t xml:space="preserve">Achieng Ent.</t>
  </si>
  <si>
    <t xml:space="preserve">05/01/2024</t>
  </si>
  <si>
    <t xml:space="preserve">5th Jan</t>
  </si>
  <si>
    <t xml:space="preserve">AE/0045/24</t>
  </si>
  <si>
    <t xml:space="preserve">04/02/2024</t>
  </si>
  <si>
    <t xml:space="preserve">10/02/2024</t>
  </si>
  <si>
    <t xml:space="preserve">PAY-8822</t>
  </si>
  <si>
    <t xml:space="preserve">A. Odhiambo</t>
  </si>
  <si>
    <t xml:space="preserve">PO-442</t>
  </si>
  <si>
    <t xml:space="preserve">VAT query</t>
  </si>
  <si>
    <t xml:space="preserve">SUP-003</t>
  </si>
  <si>
    <t xml:space="preserve">MWENDA SOLUTIONS</t>
  </si>
  <si>
    <t xml:space="preserve">Mwenda Solutions</t>
  </si>
  <si>
    <t xml:space="preserve">January 10</t>
  </si>
  <si>
    <t xml:space="preserve">Jan 10, 2024</t>
  </si>
  <si>
    <t xml:space="preserve">MSL/INV/0091</t>
  </si>
  <si>
    <t xml:space="preserve">MSL/INV/0090</t>
  </si>
  <si>
    <t xml:space="preserve">09/02/2024</t>
  </si>
  <si>
    <t xml:space="preserve">0%</t>
  </si>
  <si>
    <t xml:space="preserve">2024-02-15</t>
  </si>
  <si>
    <t xml:space="preserve">PAY-8823</t>
  </si>
  <si>
    <t xml:space="preserve">P. Mutua</t>
  </si>
  <si>
    <t xml:space="preserve">PO-443</t>
  </si>
  <si>
    <t xml:space="preserve">zero-rated</t>
  </si>
  <si>
    <t xml:space="preserve">SUP-004</t>
  </si>
  <si>
    <t xml:space="preserve">Njeri Imports</t>
  </si>
  <si>
    <t xml:space="preserve">NJERI IMPORTS</t>
  </si>
  <si>
    <t xml:space="preserve">15/01/2024</t>
  </si>
  <si>
    <t xml:space="preserve">15-Jan-2024</t>
  </si>
  <si>
    <t xml:space="preserve">NI-884</t>
  </si>
  <si>
    <t xml:space="preserve">10/01/2024</t>
  </si>
  <si>
    <t xml:space="preserve">12/01/2024</t>
  </si>
  <si>
    <t xml:space="preserve">PAY-8824</t>
  </si>
  <si>
    <t xml:space="preserve">PO-444</t>
  </si>
  <si>
    <t xml:space="preserve">DUE BEFORE INVOICE DATE?</t>
  </si>
  <si>
    <t xml:space="preserve">SUP-005</t>
  </si>
  <si>
    <t xml:space="preserve">Omondi &amp; Partners</t>
  </si>
  <si>
    <t xml:space="preserve">Omondi and Partners</t>
  </si>
  <si>
    <t xml:space="preserve">18/01/2024</t>
  </si>
  <si>
    <t xml:space="preserve">Jan 18</t>
  </si>
  <si>
    <t xml:space="preserve">OP/2024/011</t>
  </si>
  <si>
    <t xml:space="preserve">17/02/2024</t>
  </si>
  <si>
    <t xml:space="preserve">C. Wanjiku</t>
  </si>
  <si>
    <t xml:space="preserve">PO-445</t>
  </si>
  <si>
    <t xml:space="preserve">PAID but no date or ref</t>
  </si>
  <si>
    <t xml:space="preserve">SUP-006</t>
  </si>
  <si>
    <t xml:space="preserve">Atieno Goods</t>
  </si>
  <si>
    <t xml:space="preserve">Atieno Goods Ltd</t>
  </si>
  <si>
    <t xml:space="preserve">22/01/2024</t>
  </si>
  <si>
    <t xml:space="preserve">22nd January</t>
  </si>
  <si>
    <t xml:space="preserve">ATG-0012</t>
  </si>
  <si>
    <t xml:space="preserve">21/02/2024</t>
  </si>
  <si>
    <t xml:space="preserve">28/02/2024</t>
  </si>
  <si>
    <t xml:space="preserve">PAY-8825</t>
  </si>
  <si>
    <t xml:space="preserve">PO-446</t>
  </si>
  <si>
    <t xml:space="preserve">net amt discrepancy</t>
  </si>
  <si>
    <t xml:space="preserve">SUP-007</t>
  </si>
  <si>
    <t xml:space="preserve">Mutua Distributors</t>
  </si>
  <si>
    <t xml:space="preserve">Mutua Dist.</t>
  </si>
  <si>
    <t xml:space="preserve">25/01/2024</t>
  </si>
  <si>
    <t xml:space="preserve">Jan 25 2024</t>
  </si>
  <si>
    <t xml:space="preserve">MD/24/0078</t>
  </si>
  <si>
    <t xml:space="preserve">24/02/2024</t>
  </si>
  <si>
    <t xml:space="preserve">01/03/2024</t>
  </si>
  <si>
    <t xml:space="preserve">PAY-8826</t>
  </si>
  <si>
    <t xml:space="preserve">PO-447</t>
  </si>
  <si>
    <t xml:space="preserve">SUP-008</t>
  </si>
  <si>
    <t xml:space="preserve">Chebet &amp; Co</t>
  </si>
  <si>
    <t xml:space="preserve">Chebet and Co.</t>
  </si>
  <si>
    <t xml:space="preserve">28/01/2024</t>
  </si>
  <si>
    <t xml:space="preserve">28/01/24</t>
  </si>
  <si>
    <t xml:space="preserve">CCO-551</t>
  </si>
  <si>
    <t xml:space="preserve">27/02/2024</t>
  </si>
  <si>
    <t xml:space="preserve">03/03/2024</t>
  </si>
  <si>
    <t xml:space="preserve">PAY-8827</t>
  </si>
  <si>
    <t xml:space="preserve">CEO</t>
  </si>
  <si>
    <t xml:space="preserve">PO-448</t>
  </si>
  <si>
    <t xml:space="preserve">SUP-009</t>
  </si>
  <si>
    <t xml:space="preserve">Kamau Traders</t>
  </si>
  <si>
    <t xml:space="preserve">Feb 1</t>
  </si>
  <si>
    <t xml:space="preserve">KT-2024-033</t>
  </si>
  <si>
    <t xml:space="preserve">02/03/2024</t>
  </si>
  <si>
    <t xml:space="preserve">PENDING</t>
  </si>
  <si>
    <t xml:space="preserve">PO-449</t>
  </si>
  <si>
    <t xml:space="preserve">OVERDUE - due 02 Mar</t>
  </si>
  <si>
    <t xml:space="preserve">SUP-010</t>
  </si>
  <si>
    <t xml:space="preserve">Auma Electronics</t>
  </si>
  <si>
    <t xml:space="preserve">auma electronics</t>
  </si>
  <si>
    <t xml:space="preserve">5-Feb-2024</t>
  </si>
  <si>
    <t xml:space="preserve">AE-2024-007</t>
  </si>
  <si>
    <t xml:space="preserve">06/03/2024</t>
  </si>
  <si>
    <t xml:space="preserve">10/03/2024</t>
  </si>
  <si>
    <t xml:space="preserve">PAY-8828</t>
  </si>
  <si>
    <t xml:space="preserve">B. Kamau</t>
  </si>
  <si>
    <t xml:space="preserve">PO-450</t>
  </si>
  <si>
    <t xml:space="preserve">VAT rate not stated</t>
  </si>
  <si>
    <t xml:space="preserve">SUP-011</t>
  </si>
  <si>
    <t xml:space="preserve">Waweru &amp; Associates</t>
  </si>
  <si>
    <t xml:space="preserve">Waweru Associates</t>
  </si>
  <si>
    <t xml:space="preserve">08/02/2024</t>
  </si>
  <si>
    <t xml:space="preserve">Feb 8 2024</t>
  </si>
  <si>
    <t xml:space="preserve">WA/INV/0055</t>
  </si>
  <si>
    <t xml:space="preserve">09/03/2024</t>
  </si>
  <si>
    <t xml:space="preserve">12/03/2024</t>
  </si>
  <si>
    <t xml:space="preserve">PAY-8829</t>
  </si>
  <si>
    <t xml:space="preserve">D. Waweru</t>
  </si>
  <si>
    <t xml:space="preserve">NO PO - maverick spend?</t>
  </si>
  <si>
    <t xml:space="preserve">26/01/2024</t>
  </si>
  <si>
    <t xml:space="preserve">Jan 26 2024</t>
  </si>
  <si>
    <t xml:space="preserve">25/02/2024</t>
  </si>
  <si>
    <t xml:space="preserve">PAY-8830</t>
  </si>
  <si>
    <t xml:space="preserve">POSSIBLE DUPLICATE INV</t>
  </si>
  <si>
    <t xml:space="preserve">SUP-012</t>
  </si>
  <si>
    <t xml:space="preserve">SUP-021</t>
  </si>
  <si>
    <t xml:space="preserve">Simiyu Transport</t>
  </si>
  <si>
    <t xml:space="preserve">Simiyu Transport Co</t>
  </si>
  <si>
    <t xml:space="preserve">14/02/2024</t>
  </si>
  <si>
    <t xml:space="preserve">Feb 14</t>
  </si>
  <si>
    <t xml:space="preserve">ST-0099</t>
  </si>
  <si>
    <t xml:space="preserve">15/03/2024</t>
  </si>
  <si>
    <t xml:space="preserve">18/03/2024</t>
  </si>
  <si>
    <t xml:space="preserve">PAY-8831</t>
  </si>
  <si>
    <t xml:space="preserve">PO-451</t>
  </si>
  <si>
    <t xml:space="preserve">supplier code mismatch col A vs B</t>
  </si>
  <si>
    <t xml:space="preserve">SUP-013</t>
  </si>
  <si>
    <t xml:space="preserve">Nafula Supplies</t>
  </si>
  <si>
    <t xml:space="preserve">18/02/2024</t>
  </si>
  <si>
    <t xml:space="preserve">18-Feb-24</t>
  </si>
  <si>
    <t xml:space="preserve">NS-2024-014</t>
  </si>
  <si>
    <t xml:space="preserve">19/03/2024</t>
  </si>
  <si>
    <t xml:space="preserve">22/03/2024</t>
  </si>
  <si>
    <t xml:space="preserve">PAY-8832</t>
  </si>
  <si>
    <t xml:space="preserve">PO-452</t>
  </si>
  <si>
    <t xml:space="preserve">amt in USD? check currency</t>
  </si>
  <si>
    <t xml:space="preserve">SUP-014</t>
  </si>
  <si>
    <t xml:space="preserve">Onyango IT Solutions</t>
  </si>
  <si>
    <t xml:space="preserve">Onyango IT Sol.</t>
  </si>
  <si>
    <t xml:space="preserve">20/02/2024</t>
  </si>
  <si>
    <t xml:space="preserve">20th Feb</t>
  </si>
  <si>
    <t xml:space="preserve">OIS/2024/008</t>
  </si>
  <si>
    <t xml:space="preserve">21/03/2024</t>
  </si>
  <si>
    <t xml:space="preserve">DISPUTED</t>
  </si>
  <si>
    <t xml:space="preserve">PO-453</t>
  </si>
  <si>
    <t xml:space="preserve">SUP-015</t>
  </si>
  <si>
    <t xml:space="preserve">Cherono Catering</t>
  </si>
  <si>
    <t xml:space="preserve">cherono catering</t>
  </si>
  <si>
    <t xml:space="preserve">Feb 25, 2024</t>
  </si>
  <si>
    <t xml:space="preserve">CC-2024-031</t>
  </si>
  <si>
    <t xml:space="preserve">25/04/2024</t>
  </si>
  <si>
    <t xml:space="preserve">PAY-8833</t>
  </si>
  <si>
    <t xml:space="preserve">PO-454</t>
  </si>
  <si>
    <t xml:space="preserve">paid 55 days early - discount?</t>
  </si>
  <si>
    <t xml:space="preserve">SUP-016</t>
  </si>
  <si>
    <t xml:space="preserve">Muthoni Real Estate</t>
  </si>
  <si>
    <t xml:space="preserve">Muthoni RE Ltd</t>
  </si>
  <si>
    <t xml:space="preserve">March 1</t>
  </si>
  <si>
    <t xml:space="preserve">MRE-2024-003</t>
  </si>
  <si>
    <t xml:space="preserve">31/03/2024</t>
  </si>
  <si>
    <t xml:space="preserve">exempt</t>
  </si>
  <si>
    <t xml:space="preserve">135000</t>
  </si>
  <si>
    <t xml:space="preserve">PAY-8834</t>
  </si>
  <si>
    <t xml:space="preserve">PO-455</t>
  </si>
  <si>
    <t xml:space="preserve">NET &gt; GROSS??</t>
  </si>
  <si>
    <t xml:space="preserve">SUP-017</t>
  </si>
  <si>
    <t xml:space="preserve">Otieno Hardware</t>
  </si>
  <si>
    <t xml:space="preserve">05/03/2024</t>
  </si>
  <si>
    <t xml:space="preserve">5-Mar-24</t>
  </si>
  <si>
    <t xml:space="preserve">OH-887</t>
  </si>
  <si>
    <t xml:space="preserve">04/04/2024</t>
  </si>
  <si>
    <t xml:space="preserve">08/04/2024</t>
  </si>
  <si>
    <t xml:space="preserve">PAY-8835</t>
  </si>
  <si>
    <t xml:space="preserve">PO-456</t>
  </si>
  <si>
    <t xml:space="preserve">approver = supplier name??</t>
  </si>
  <si>
    <t xml:space="preserve">SUP-018</t>
  </si>
  <si>
    <t xml:space="preserve">KEBS Registration</t>
  </si>
  <si>
    <t xml:space="preserve">KEBS</t>
  </si>
  <si>
    <t xml:space="preserve">10th March</t>
  </si>
  <si>
    <t xml:space="preserve">KEBS/2024/1</t>
  </si>
  <si>
    <t xml:space="preserve">09/04/2024</t>
  </si>
  <si>
    <t xml:space="preserve">15000</t>
  </si>
  <si>
    <t xml:space="preserve">Legal Head</t>
  </si>
  <si>
    <t xml:space="preserve">PO-457</t>
  </si>
  <si>
    <t xml:space="preserve">status missing</t>
  </si>
  <si>
    <t xml:space="preserve">Mar 12 2024</t>
  </si>
  <si>
    <t xml:space="preserve">AE/CN/003</t>
  </si>
  <si>
    <t xml:space="preserve">11/04/2024</t>
  </si>
  <si>
    <t xml:space="preserve">15/04/2024</t>
  </si>
  <si>
    <t xml:space="preserve">PAY-8836</t>
  </si>
  <si>
    <t xml:space="preserve">credit note? not labelled</t>
  </si>
  <si>
    <t xml:space="preserve">SUP-019</t>
  </si>
  <si>
    <t xml:space="preserve">Kipchoge Logistics</t>
  </si>
  <si>
    <t xml:space="preserve">Kipchoge Log.</t>
  </si>
  <si>
    <t xml:space="preserve">15-Mar-2024</t>
  </si>
  <si>
    <t xml:space="preserve">KL/2024/044</t>
  </si>
  <si>
    <t xml:space="preserve">14/04/2024</t>
  </si>
  <si>
    <t xml:space="preserve">PO-458</t>
  </si>
  <si>
    <t xml:space="preserve">SUP-020</t>
  </si>
  <si>
    <t xml:space="preserve">Akinyi &amp; Partners Law</t>
  </si>
  <si>
    <t xml:space="preserve">Akinyi Partners</t>
  </si>
  <si>
    <t xml:space="preserve">20/03/2024</t>
  </si>
  <si>
    <t xml:space="preserve">March 20</t>
  </si>
  <si>
    <t xml:space="preserve">APL-2024-009</t>
  </si>
  <si>
    <t xml:space="preserve">19/04/2024</t>
  </si>
  <si>
    <t xml:space="preserve">22/04/2024</t>
  </si>
  <si>
    <t xml:space="preserve">PAY-8837</t>
  </si>
  <si>
    <t xml:space="preserve">PO-459</t>
  </si>
  <si>
    <t xml:space="preserve">Baraka Consultants</t>
  </si>
  <si>
    <t xml:space="preserve">March 31</t>
  </si>
  <si>
    <t xml:space="preserve">BC-2024-055</t>
  </si>
  <si>
    <t xml:space="preserve">30/04/2024</t>
  </si>
  <si>
    <t xml:space="preserve">01/04/2024</t>
  </si>
  <si>
    <t xml:space="preserve">PAY-8838</t>
  </si>
  <si>
    <t xml:space="preserve">PO-460</t>
  </si>
  <si>
    <t xml:space="preserve">paid day after invoice - pre-payment?</t>
  </si>
  <si>
    <t xml:space="preserve">VAT RECONCILIATION — Q1 2024</t>
  </si>
  <si>
    <t xml:space="preserve">Month</t>
  </si>
  <si>
    <t xml:space="preserve">Total Gross (KES)</t>
  </si>
  <si>
    <t xml:space="preserve">Total VAT Claimed</t>
  </si>
  <si>
    <t xml:space="preserve">VAT per Ledger</t>
  </si>
  <si>
    <t xml:space="preserve">Variance</t>
  </si>
  <si>
    <t xml:space="preserve">Notes</t>
  </si>
  <si>
    <t xml:space="preserve">January 2024</t>
  </si>
  <si>
    <t xml:space="preserve">SUP-002 VAT discrepancy unresolved</t>
  </si>
  <si>
    <t xml:space="preserve">February 2024</t>
  </si>
  <si>
    <t xml:space="preserve">SUP-016 net&gt;gross anomaly included</t>
  </si>
  <si>
    <t xml:space="preserve">March 2024</t>
  </si>
  <si>
    <t xml:space="preserve">NOT YET COMPLETED</t>
  </si>
  <si>
    <t xml:space="preserve">⚠  VAT amounts for zero-rated and exempt invoices included in totals without separation.</t>
  </si>
  <si>
    <t xml:space="preserve">⚠  Disputed invoice SUP-014 (KES 96,000 VAT) excluded from recon pending resolution.</t>
  </si>
  <si>
    <t xml:space="preserve">ACCOUNTS PAYABLE AGING — AS AT 31 MARCH 2024</t>
  </si>
  <si>
    <t xml:space="preserve">Supplier</t>
  </si>
  <si>
    <t xml:space="preserve">Current (0-30)</t>
  </si>
  <si>
    <t xml:space="preserve">31-60 Days</t>
  </si>
  <si>
    <t xml:space="preserve">61-90 Days</t>
  </si>
  <si>
    <t xml:space="preserve">90+ Days</t>
  </si>
  <si>
    <t xml:space="preserve">Total Outstanding</t>
  </si>
  <si>
    <t xml:space="preserve">OVERDUE</t>
  </si>
  <si>
    <t xml:space="preserve">DISPUTED - 90+ days</t>
  </si>
  <si>
    <t xml:space="preserve">unclear status</t>
  </si>
  <si>
    <t xml:space="preserve">status blank in ledger</t>
  </si>
  <si>
    <t xml:space="preserve">TOTAL</t>
  </si>
  <si>
    <t xml:space="preserve">⚠  Aging only reflects UNPAID/DISPUTED items. Paid invoices with issues not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</si>
</sst>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FF0000"/>
      <name val="Cambria"/>
      <family val="0"/>
      <charset val="1"/>
    </font>
    <font>
      <i val="true"/>
      <sz val="11"/>
      <color rgb="FFFF6600"/>
      <name val="Cambria"/>
      <family val="0"/>
      <charset val="1"/>
    </font>
    <font>
      <i val="true"/>
      <sz val="11"/>
      <color rgb="FFFF0000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243F60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D7D7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3F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4" min="13" style="0" width="13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6"/>
    <col collapsed="false" customWidth="true" hidden="false" outlineLevel="0" max="19" min="19" style="0" width="10"/>
    <col collapsed="false" customWidth="true" hidden="false" outlineLevel="0" max="20" min="20" style="0" width="22"/>
  </cols>
  <sheetData>
    <row r="1" customFormat="false" ht="31.5" hidden="false" customHeight="tru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</row>
    <row r="2" customFormat="false" ht="15" hidden="false" customHeight="false" outlineLevel="0" collapsed="false">
      <c r="A2" s="0" t="s">
        <v>20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25</v>
      </c>
      <c r="I2" s="0" t="s">
        <v>26</v>
      </c>
      <c r="J2" s="0" t="n">
        <v>94400</v>
      </c>
      <c r="K2" s="0" t="n">
        <v>14400</v>
      </c>
      <c r="L2" s="0" t="s">
        <v>27</v>
      </c>
      <c r="M2" s="0" t="n">
        <v>80000</v>
      </c>
      <c r="N2" s="0" t="n">
        <v>80000</v>
      </c>
      <c r="O2" s="0" t="s">
        <v>28</v>
      </c>
      <c r="P2" s="0" t="s">
        <v>29</v>
      </c>
      <c r="Q2" s="0" t="s">
        <v>30</v>
      </c>
      <c r="R2" s="0" t="s">
        <v>31</v>
      </c>
      <c r="S2" s="0" t="s">
        <v>32</v>
      </c>
    </row>
    <row r="3" customFormat="false" ht="15" hidden="false" customHeight="false" outlineLevel="0" collapsed="false">
      <c r="A3" s="0" t="s">
        <v>33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38</v>
      </c>
      <c r="I3" s="0" t="s">
        <v>39</v>
      </c>
      <c r="J3" s="0" t="n">
        <v>104400</v>
      </c>
      <c r="K3" s="0" t="n">
        <v>9000</v>
      </c>
      <c r="L3" s="0" t="s">
        <v>27</v>
      </c>
      <c r="M3" s="0" t="n">
        <v>95400</v>
      </c>
      <c r="N3" s="0" t="n">
        <v>90000</v>
      </c>
      <c r="O3" s="0" t="s">
        <v>28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</row>
    <row r="4" customFormat="false" ht="15" hidden="false" customHeight="false" outlineLevel="0" collapsed="false">
      <c r="A4" s="3" t="s">
        <v>45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n">
        <v>58000</v>
      </c>
      <c r="K4" s="3" t="n">
        <v>0</v>
      </c>
      <c r="L4" s="3" t="s">
        <v>53</v>
      </c>
      <c r="M4" s="3" t="n">
        <v>58000</v>
      </c>
      <c r="N4" s="3" t="n">
        <v>58000</v>
      </c>
      <c r="O4" s="3" t="s">
        <v>28</v>
      </c>
      <c r="P4" s="3" t="s">
        <v>54</v>
      </c>
      <c r="Q4" s="3" t="s">
        <v>55</v>
      </c>
      <c r="R4" s="3" t="s">
        <v>56</v>
      </c>
      <c r="S4" s="3" t="s">
        <v>57</v>
      </c>
      <c r="T4" s="3" t="s">
        <v>58</v>
      </c>
    </row>
    <row r="5" customFormat="false" ht="15" hidden="false" customHeight="false" outlineLevel="0" collapsed="false">
      <c r="A5" s="4" t="s">
        <v>59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64</v>
      </c>
      <c r="I5" s="4" t="s">
        <v>65</v>
      </c>
      <c r="J5" s="4" t="n">
        <v>232000</v>
      </c>
      <c r="K5" s="4" t="n">
        <v>32000</v>
      </c>
      <c r="L5" s="4" t="s">
        <v>27</v>
      </c>
      <c r="M5" s="4" t="n">
        <v>200000</v>
      </c>
      <c r="N5" s="4" t="n">
        <v>200000</v>
      </c>
      <c r="O5" s="4" t="s">
        <v>28</v>
      </c>
      <c r="P5" s="4" t="s">
        <v>66</v>
      </c>
      <c r="Q5" s="4" t="s">
        <v>67</v>
      </c>
      <c r="R5" s="4" t="s">
        <v>31</v>
      </c>
      <c r="S5" s="4" t="s">
        <v>68</v>
      </c>
      <c r="T5" s="4" t="s">
        <v>69</v>
      </c>
    </row>
    <row r="6" customFormat="false" ht="15" hidden="false" customHeight="false" outlineLevel="0" collapsed="false">
      <c r="A6" s="3" t="s">
        <v>70</v>
      </c>
      <c r="B6" s="3" t="s">
        <v>70</v>
      </c>
      <c r="C6" s="3" t="s">
        <v>71</v>
      </c>
      <c r="D6" s="3" t="s">
        <v>72</v>
      </c>
      <c r="E6" s="3" t="s">
        <v>73</v>
      </c>
      <c r="F6" s="3" t="s">
        <v>74</v>
      </c>
      <c r="G6" s="3" t="s">
        <v>75</v>
      </c>
      <c r="H6" s="3" t="s">
        <v>75</v>
      </c>
      <c r="I6" s="3" t="s">
        <v>76</v>
      </c>
      <c r="J6" s="3" t="n">
        <v>52460</v>
      </c>
      <c r="K6" s="3" t="n">
        <v>7460</v>
      </c>
      <c r="L6" s="3" t="s">
        <v>27</v>
      </c>
      <c r="M6" s="3" t="n">
        <v>45000</v>
      </c>
      <c r="N6" s="3" t="n">
        <v>45000</v>
      </c>
      <c r="O6" s="3" t="s">
        <v>28</v>
      </c>
      <c r="P6" s="3"/>
      <c r="Q6" s="3"/>
      <c r="R6" s="3" t="s">
        <v>77</v>
      </c>
      <c r="S6" s="3" t="s">
        <v>78</v>
      </c>
      <c r="T6" s="3" t="s">
        <v>79</v>
      </c>
    </row>
    <row r="7" customFormat="false" ht="15" hidden="false" customHeight="false" outlineLevel="0" collapsed="false">
      <c r="A7" s="3" t="s">
        <v>80</v>
      </c>
      <c r="B7" s="3" t="s">
        <v>80</v>
      </c>
      <c r="C7" s="3" t="s">
        <v>81</v>
      </c>
      <c r="D7" s="3" t="s">
        <v>82</v>
      </c>
      <c r="E7" s="3" t="s">
        <v>83</v>
      </c>
      <c r="F7" s="3" t="s">
        <v>84</v>
      </c>
      <c r="G7" s="3" t="s">
        <v>85</v>
      </c>
      <c r="H7" s="3" t="s">
        <v>85</v>
      </c>
      <c r="I7" s="3" t="s">
        <v>86</v>
      </c>
      <c r="J7" s="3" t="n">
        <v>45500</v>
      </c>
      <c r="K7" s="3" t="n">
        <v>5500</v>
      </c>
      <c r="L7" s="3" t="s">
        <v>27</v>
      </c>
      <c r="M7" s="3" t="n">
        <v>40000</v>
      </c>
      <c r="N7" s="3" t="n">
        <v>38000</v>
      </c>
      <c r="O7" s="3" t="s">
        <v>28</v>
      </c>
      <c r="P7" s="3" t="s">
        <v>87</v>
      </c>
      <c r="Q7" s="3" t="s">
        <v>88</v>
      </c>
      <c r="R7" s="3" t="s">
        <v>31</v>
      </c>
      <c r="S7" s="3" t="s">
        <v>89</v>
      </c>
      <c r="T7" s="3" t="s">
        <v>90</v>
      </c>
    </row>
    <row r="8" customFormat="false" ht="15" hidden="false" customHeight="false" outlineLevel="0" collapsed="false">
      <c r="A8" s="3" t="s">
        <v>91</v>
      </c>
      <c r="B8" s="3" t="s">
        <v>91</v>
      </c>
      <c r="C8" s="3" t="s">
        <v>92</v>
      </c>
      <c r="D8" s="3" t="s">
        <v>93</v>
      </c>
      <c r="E8" s="3" t="s">
        <v>94</v>
      </c>
      <c r="F8" s="3" t="s">
        <v>95</v>
      </c>
      <c r="G8" s="3" t="s">
        <v>96</v>
      </c>
      <c r="H8" s="3" t="s">
        <v>96</v>
      </c>
      <c r="I8" s="3" t="s">
        <v>97</v>
      </c>
      <c r="J8" s="3" t="n">
        <v>116000</v>
      </c>
      <c r="K8" s="3" t="n">
        <v>16000</v>
      </c>
      <c r="L8" s="3" t="s">
        <v>27</v>
      </c>
      <c r="M8" s="3" t="n">
        <v>100000</v>
      </c>
      <c r="N8" s="3" t="n">
        <v>100000</v>
      </c>
      <c r="O8" s="3" t="s">
        <v>28</v>
      </c>
      <c r="P8" s="3" t="s">
        <v>98</v>
      </c>
      <c r="Q8" s="3" t="s">
        <v>99</v>
      </c>
      <c r="R8" s="3" t="s">
        <v>42</v>
      </c>
      <c r="S8" s="3" t="s">
        <v>100</v>
      </c>
      <c r="T8" s="3"/>
    </row>
    <row r="9" customFormat="false" ht="15" hidden="false" customHeight="false" outlineLevel="0" collapsed="false">
      <c r="A9" s="0" t="s">
        <v>101</v>
      </c>
      <c r="B9" s="0" t="s">
        <v>101</v>
      </c>
      <c r="C9" s="0" t="s">
        <v>102</v>
      </c>
      <c r="D9" s="0" t="s">
        <v>103</v>
      </c>
      <c r="E9" s="0" t="s">
        <v>104</v>
      </c>
      <c r="F9" s="0" t="s">
        <v>105</v>
      </c>
      <c r="G9" s="0" t="s">
        <v>106</v>
      </c>
      <c r="H9" s="0" t="s">
        <v>106</v>
      </c>
      <c r="I9" s="0" t="s">
        <v>107</v>
      </c>
      <c r="J9" s="0" t="n">
        <v>290000</v>
      </c>
      <c r="K9" s="0" t="n">
        <v>40000</v>
      </c>
      <c r="L9" s="0" t="s">
        <v>27</v>
      </c>
      <c r="M9" s="0" t="n">
        <v>250000</v>
      </c>
      <c r="N9" s="0" t="n">
        <v>250000</v>
      </c>
      <c r="O9" s="0" t="s">
        <v>28</v>
      </c>
      <c r="P9" s="0" t="s">
        <v>108</v>
      </c>
      <c r="Q9" s="0" t="s">
        <v>109</v>
      </c>
      <c r="R9" s="0" t="s">
        <v>110</v>
      </c>
      <c r="S9" s="0" t="s">
        <v>111</v>
      </c>
    </row>
    <row r="10" customFormat="false" ht="15" hidden="false" customHeight="false" outlineLevel="0" collapsed="false">
      <c r="A10" s="0" t="s">
        <v>112</v>
      </c>
      <c r="B10" s="0" t="s">
        <v>112</v>
      </c>
      <c r="C10" s="0" t="s">
        <v>113</v>
      </c>
      <c r="D10" s="0" t="s">
        <v>113</v>
      </c>
      <c r="E10" s="0" t="s">
        <v>26</v>
      </c>
      <c r="F10" s="0" t="s">
        <v>114</v>
      </c>
      <c r="G10" s="0" t="s">
        <v>115</v>
      </c>
      <c r="H10" s="0" t="s">
        <v>115</v>
      </c>
      <c r="I10" s="0" t="s">
        <v>116</v>
      </c>
      <c r="J10" s="0" t="n">
        <v>34800</v>
      </c>
      <c r="K10" s="0" t="n">
        <v>4800</v>
      </c>
      <c r="L10" s="0" t="s">
        <v>27</v>
      </c>
      <c r="M10" s="0" t="n">
        <v>30000</v>
      </c>
      <c r="N10" s="0" t="n">
        <v>30000</v>
      </c>
      <c r="O10" s="0" t="s">
        <v>117</v>
      </c>
      <c r="S10" s="0" t="s">
        <v>118</v>
      </c>
      <c r="T10" s="0" t="s">
        <v>119</v>
      </c>
    </row>
    <row r="11" customFormat="false" ht="15" hidden="false" customHeight="false" outlineLevel="0" collapsed="false">
      <c r="A11" s="3" t="s">
        <v>120</v>
      </c>
      <c r="B11" s="3" t="s">
        <v>120</v>
      </c>
      <c r="C11" s="3" t="s">
        <v>121</v>
      </c>
      <c r="D11" s="3" t="s">
        <v>122</v>
      </c>
      <c r="E11" s="3" t="s">
        <v>29</v>
      </c>
      <c r="F11" s="3" t="s">
        <v>123</v>
      </c>
      <c r="G11" s="3" t="s">
        <v>124</v>
      </c>
      <c r="H11" s="3" t="s">
        <v>124</v>
      </c>
      <c r="I11" s="3" t="s">
        <v>125</v>
      </c>
      <c r="J11" s="3" t="n">
        <v>20880</v>
      </c>
      <c r="K11" s="3" t="n">
        <v>2880</v>
      </c>
      <c r="L11" s="3"/>
      <c r="M11" s="3" t="n">
        <v>18000</v>
      </c>
      <c r="N11" s="3" t="n">
        <v>18000</v>
      </c>
      <c r="O11" s="3" t="s">
        <v>28</v>
      </c>
      <c r="P11" s="3" t="s">
        <v>126</v>
      </c>
      <c r="Q11" s="3" t="s">
        <v>127</v>
      </c>
      <c r="R11" s="3" t="s">
        <v>128</v>
      </c>
      <c r="S11" s="3" t="s">
        <v>129</v>
      </c>
      <c r="T11" s="3" t="s">
        <v>130</v>
      </c>
    </row>
    <row r="12" customFormat="false" ht="15" hidden="false" customHeight="false" outlineLevel="0" collapsed="false">
      <c r="A12" s="0" t="s">
        <v>131</v>
      </c>
      <c r="B12" s="0" t="s">
        <v>131</v>
      </c>
      <c r="C12" s="0" t="s">
        <v>132</v>
      </c>
      <c r="D12" s="0" t="s">
        <v>133</v>
      </c>
      <c r="E12" s="0" t="s">
        <v>134</v>
      </c>
      <c r="F12" s="0" t="s">
        <v>135</v>
      </c>
      <c r="G12" s="0" t="s">
        <v>136</v>
      </c>
      <c r="H12" s="0" t="s">
        <v>136</v>
      </c>
      <c r="I12" s="0" t="s">
        <v>137</v>
      </c>
      <c r="J12" s="0" t="n">
        <v>52200</v>
      </c>
      <c r="K12" s="0" t="n">
        <v>7200</v>
      </c>
      <c r="L12" s="0" t="s">
        <v>27</v>
      </c>
      <c r="M12" s="0" t="n">
        <v>45000</v>
      </c>
      <c r="N12" s="0" t="n">
        <v>45000</v>
      </c>
      <c r="O12" s="0" t="s">
        <v>28</v>
      </c>
      <c r="P12" s="0" t="s">
        <v>138</v>
      </c>
      <c r="Q12" s="0" t="s">
        <v>139</v>
      </c>
      <c r="R12" s="0" t="s">
        <v>140</v>
      </c>
      <c r="T12" s="0" t="s">
        <v>141</v>
      </c>
    </row>
    <row r="13" customFormat="false" ht="15" hidden="false" customHeight="false" outlineLevel="0" collapsed="false">
      <c r="A13" s="3" t="s">
        <v>91</v>
      </c>
      <c r="B13" s="3" t="s">
        <v>91</v>
      </c>
      <c r="C13" s="3" t="s">
        <v>92</v>
      </c>
      <c r="D13" s="3" t="s">
        <v>93</v>
      </c>
      <c r="E13" s="3" t="s">
        <v>142</v>
      </c>
      <c r="F13" s="3" t="s">
        <v>143</v>
      </c>
      <c r="G13" s="3" t="s">
        <v>96</v>
      </c>
      <c r="H13" s="3" t="s">
        <v>96</v>
      </c>
      <c r="I13" s="3" t="s">
        <v>144</v>
      </c>
      <c r="J13" s="3" t="n">
        <v>116000</v>
      </c>
      <c r="K13" s="3" t="n">
        <v>16000</v>
      </c>
      <c r="L13" s="3" t="s">
        <v>27</v>
      </c>
      <c r="M13" s="3" t="n">
        <v>100000</v>
      </c>
      <c r="N13" s="3" t="n">
        <v>100000</v>
      </c>
      <c r="O13" s="3" t="s">
        <v>28</v>
      </c>
      <c r="P13" s="3" t="s">
        <v>116</v>
      </c>
      <c r="Q13" s="3" t="s">
        <v>145</v>
      </c>
      <c r="R13" s="3" t="s">
        <v>42</v>
      </c>
      <c r="S13" s="3" t="s">
        <v>100</v>
      </c>
      <c r="T13" s="3" t="s">
        <v>146</v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15" hidden="false" customHeight="false" outlineLevel="0" collapsed="false">
      <c r="A15" s="3" t="s">
        <v>147</v>
      </c>
      <c r="B15" s="3" t="s">
        <v>148</v>
      </c>
      <c r="C15" s="3" t="s">
        <v>149</v>
      </c>
      <c r="D15" s="3" t="s">
        <v>150</v>
      </c>
      <c r="E15" s="3" t="s">
        <v>151</v>
      </c>
      <c r="F15" s="3" t="s">
        <v>152</v>
      </c>
      <c r="G15" s="3" t="s">
        <v>153</v>
      </c>
      <c r="H15" s="3" t="s">
        <v>153</v>
      </c>
      <c r="I15" s="3" t="s">
        <v>154</v>
      </c>
      <c r="J15" s="3" t="n">
        <v>87000</v>
      </c>
      <c r="K15" s="3" t="n">
        <v>12000</v>
      </c>
      <c r="L15" s="3" t="s">
        <v>27</v>
      </c>
      <c r="M15" s="3" t="n">
        <v>75000</v>
      </c>
      <c r="N15" s="3" t="n">
        <v>75000</v>
      </c>
      <c r="O15" s="3" t="s">
        <v>28</v>
      </c>
      <c r="P15" s="3" t="s">
        <v>155</v>
      </c>
      <c r="Q15" s="3" t="s">
        <v>156</v>
      </c>
      <c r="R15" s="3" t="s">
        <v>56</v>
      </c>
      <c r="S15" s="3" t="s">
        <v>157</v>
      </c>
      <c r="T15" s="3" t="s">
        <v>158</v>
      </c>
    </row>
    <row r="16" customFormat="false" ht="15" hidden="false" customHeight="false" outlineLevel="0" collapsed="false">
      <c r="A16" s="0" t="s">
        <v>159</v>
      </c>
      <c r="B16" s="0" t="s">
        <v>159</v>
      </c>
      <c r="C16" s="0" t="s">
        <v>160</v>
      </c>
      <c r="D16" s="0" t="s">
        <v>160</v>
      </c>
      <c r="E16" s="0" t="s">
        <v>161</v>
      </c>
      <c r="F16" s="0" t="s">
        <v>162</v>
      </c>
      <c r="G16" s="0" t="s">
        <v>163</v>
      </c>
      <c r="H16" s="0" t="s">
        <v>163</v>
      </c>
      <c r="I16" s="0" t="s">
        <v>164</v>
      </c>
      <c r="J16" s="0" t="n">
        <v>3300</v>
      </c>
      <c r="K16" s="0" t="n">
        <v>528</v>
      </c>
      <c r="L16" s="0" t="s">
        <v>27</v>
      </c>
      <c r="M16" s="0" t="n">
        <v>2772</v>
      </c>
      <c r="N16" s="0" t="n">
        <v>2772</v>
      </c>
      <c r="O16" s="0" t="s">
        <v>28</v>
      </c>
      <c r="P16" s="0" t="s">
        <v>165</v>
      </c>
      <c r="Q16" s="0" t="s">
        <v>166</v>
      </c>
      <c r="R16" s="0" t="s">
        <v>31</v>
      </c>
      <c r="S16" s="0" t="s">
        <v>167</v>
      </c>
      <c r="T16" s="0" t="s">
        <v>168</v>
      </c>
    </row>
    <row r="17" customFormat="false" ht="15" hidden="false" customHeight="false" outlineLevel="0" collapsed="false">
      <c r="A17" s="0" t="s">
        <v>169</v>
      </c>
      <c r="B17" s="0" t="s">
        <v>169</v>
      </c>
      <c r="C17" s="0" t="s">
        <v>170</v>
      </c>
      <c r="D17" s="0" t="s">
        <v>171</v>
      </c>
      <c r="E17" s="0" t="s">
        <v>172</v>
      </c>
      <c r="F17" s="0" t="s">
        <v>173</v>
      </c>
      <c r="G17" s="0" t="s">
        <v>174</v>
      </c>
      <c r="H17" s="0" t="s">
        <v>174</v>
      </c>
      <c r="I17" s="0" t="s">
        <v>175</v>
      </c>
      <c r="J17" s="0" t="n">
        <v>696000</v>
      </c>
      <c r="K17" s="0" t="n">
        <v>96000</v>
      </c>
      <c r="L17" s="0" t="s">
        <v>27</v>
      </c>
      <c r="M17" s="0" t="n">
        <v>600000</v>
      </c>
      <c r="N17" s="0" t="n">
        <v>600000</v>
      </c>
      <c r="O17" s="0" t="s">
        <v>176</v>
      </c>
      <c r="S17" s="0" t="s">
        <v>177</v>
      </c>
    </row>
    <row r="18" customFormat="false" ht="15" hidden="false" customHeight="false" outlineLevel="0" collapsed="false">
      <c r="A18" s="4" t="s">
        <v>178</v>
      </c>
      <c r="B18" s="4" t="s">
        <v>178</v>
      </c>
      <c r="C18" s="4" t="s">
        <v>179</v>
      </c>
      <c r="D18" s="4" t="s">
        <v>180</v>
      </c>
      <c r="E18" s="4" t="s">
        <v>144</v>
      </c>
      <c r="F18" s="4" t="s">
        <v>181</v>
      </c>
      <c r="G18" s="4" t="s">
        <v>182</v>
      </c>
      <c r="H18" s="4" t="s">
        <v>182</v>
      </c>
      <c r="I18" s="4" t="s">
        <v>183</v>
      </c>
      <c r="J18" s="4" t="n">
        <v>33640</v>
      </c>
      <c r="K18" s="4" t="n">
        <v>4640</v>
      </c>
      <c r="L18" s="4" t="s">
        <v>27</v>
      </c>
      <c r="M18" s="4" t="n">
        <v>29000</v>
      </c>
      <c r="N18" s="4" t="n">
        <v>29000</v>
      </c>
      <c r="O18" s="4" t="s">
        <v>28</v>
      </c>
      <c r="P18" s="4" t="s">
        <v>98</v>
      </c>
      <c r="Q18" s="4" t="s">
        <v>184</v>
      </c>
      <c r="R18" s="4" t="s">
        <v>110</v>
      </c>
      <c r="S18" s="4" t="s">
        <v>185</v>
      </c>
      <c r="T18" s="4" t="s">
        <v>186</v>
      </c>
    </row>
    <row r="19" customFormat="false" ht="15" hidden="false" customHeight="false" outlineLevel="0" collapsed="false">
      <c r="A19" s="3" t="s">
        <v>187</v>
      </c>
      <c r="B19" s="3" t="s">
        <v>187</v>
      </c>
      <c r="C19" s="3" t="s">
        <v>188</v>
      </c>
      <c r="D19" s="3" t="s">
        <v>189</v>
      </c>
      <c r="E19" s="3" t="s">
        <v>98</v>
      </c>
      <c r="F19" s="3" t="s">
        <v>190</v>
      </c>
      <c r="G19" s="3" t="s">
        <v>191</v>
      </c>
      <c r="H19" s="3" t="s">
        <v>191</v>
      </c>
      <c r="I19" s="3" t="s">
        <v>192</v>
      </c>
      <c r="J19" s="3" t="n">
        <v>120000</v>
      </c>
      <c r="K19" s="3" t="n">
        <v>0</v>
      </c>
      <c r="L19" s="3" t="s">
        <v>193</v>
      </c>
      <c r="M19" s="3" t="s">
        <v>194</v>
      </c>
      <c r="N19" s="3" t="n">
        <v>120000</v>
      </c>
      <c r="O19" s="3" t="s">
        <v>28</v>
      </c>
      <c r="P19" s="3" t="s">
        <v>192</v>
      </c>
      <c r="Q19" s="3" t="s">
        <v>195</v>
      </c>
      <c r="R19" s="3" t="s">
        <v>128</v>
      </c>
      <c r="S19" s="3" t="s">
        <v>196</v>
      </c>
      <c r="T19" s="3" t="s">
        <v>197</v>
      </c>
    </row>
    <row r="20" customFormat="false" ht="15" hidden="false" customHeight="false" outlineLevel="0" collapsed="false">
      <c r="A20" s="3" t="s">
        <v>198</v>
      </c>
      <c r="B20" s="3" t="s">
        <v>198</v>
      </c>
      <c r="C20" s="3" t="s">
        <v>199</v>
      </c>
      <c r="D20" s="3" t="s">
        <v>199</v>
      </c>
      <c r="E20" s="3" t="s">
        <v>200</v>
      </c>
      <c r="F20" s="3" t="s">
        <v>201</v>
      </c>
      <c r="G20" s="3" t="s">
        <v>202</v>
      </c>
      <c r="H20" s="3" t="s">
        <v>202</v>
      </c>
      <c r="I20" s="3" t="s">
        <v>203</v>
      </c>
      <c r="J20" s="3" t="n">
        <v>20240</v>
      </c>
      <c r="K20" s="3" t="n">
        <v>2240</v>
      </c>
      <c r="L20" s="3" t="s">
        <v>27</v>
      </c>
      <c r="M20" s="3" t="n">
        <v>18000</v>
      </c>
      <c r="N20" s="3" t="n">
        <v>18000</v>
      </c>
      <c r="O20" s="3" t="s">
        <v>28</v>
      </c>
      <c r="P20" s="3" t="s">
        <v>204</v>
      </c>
      <c r="Q20" s="3" t="s">
        <v>205</v>
      </c>
      <c r="R20" s="3" t="s">
        <v>199</v>
      </c>
      <c r="S20" s="3" t="s">
        <v>206</v>
      </c>
      <c r="T20" s="3" t="s">
        <v>207</v>
      </c>
    </row>
    <row r="21" customFormat="false" ht="15" hidden="false" customHeight="false" outlineLevel="0" collapsed="false">
      <c r="A21" s="3" t="s">
        <v>208</v>
      </c>
      <c r="B21" s="3" t="s">
        <v>208</v>
      </c>
      <c r="C21" s="3" t="s">
        <v>209</v>
      </c>
      <c r="D21" s="3" t="s">
        <v>210</v>
      </c>
      <c r="E21" s="3" t="s">
        <v>126</v>
      </c>
      <c r="F21" s="3" t="s">
        <v>211</v>
      </c>
      <c r="G21" s="3" t="s">
        <v>212</v>
      </c>
      <c r="H21" s="3" t="s">
        <v>212</v>
      </c>
      <c r="I21" s="3" t="s">
        <v>213</v>
      </c>
      <c r="J21" s="3" t="n">
        <v>15000</v>
      </c>
      <c r="K21" s="3" t="n">
        <v>0</v>
      </c>
      <c r="L21" s="3" t="s">
        <v>193</v>
      </c>
      <c r="M21" s="3" t="s">
        <v>214</v>
      </c>
      <c r="N21" s="3" t="n">
        <v>15000</v>
      </c>
      <c r="O21" s="3"/>
      <c r="P21" s="3"/>
      <c r="Q21" s="3"/>
      <c r="R21" s="3" t="s">
        <v>215</v>
      </c>
      <c r="S21" s="3" t="s">
        <v>216</v>
      </c>
      <c r="T21" s="3" t="s">
        <v>217</v>
      </c>
    </row>
    <row r="22" customFormat="false" ht="15" hidden="false" customHeight="false" outlineLevel="0" collapsed="false">
      <c r="A22" s="0" t="s">
        <v>33</v>
      </c>
      <c r="B22" s="0" t="s">
        <v>33</v>
      </c>
      <c r="C22" s="0" t="s">
        <v>34</v>
      </c>
      <c r="D22" s="0" t="s">
        <v>35</v>
      </c>
      <c r="E22" s="0" t="s">
        <v>138</v>
      </c>
      <c r="F22" s="0" t="s">
        <v>218</v>
      </c>
      <c r="G22" s="0" t="s">
        <v>219</v>
      </c>
      <c r="H22" s="0" t="s">
        <v>219</v>
      </c>
      <c r="I22" s="0" t="s">
        <v>220</v>
      </c>
      <c r="J22" s="0" t="n">
        <v>-11600</v>
      </c>
      <c r="K22" s="0" t="n">
        <v>-1600</v>
      </c>
      <c r="L22" s="0" t="s">
        <v>27</v>
      </c>
      <c r="M22" s="0" t="n">
        <v>-10000</v>
      </c>
      <c r="N22" s="0" t="n">
        <v>-10000</v>
      </c>
      <c r="O22" s="0" t="s">
        <v>28</v>
      </c>
      <c r="P22" s="0" t="s">
        <v>221</v>
      </c>
      <c r="Q22" s="0" t="s">
        <v>222</v>
      </c>
      <c r="R22" s="0" t="s">
        <v>42</v>
      </c>
      <c r="T22" s="0" t="s">
        <v>223</v>
      </c>
    </row>
    <row r="23" customFormat="false" ht="15" hidden="false" customHeight="false" outlineLevel="0" collapsed="false">
      <c r="A23" s="3" t="s">
        <v>224</v>
      </c>
      <c r="B23" s="3" t="s">
        <v>224</v>
      </c>
      <c r="C23" s="3" t="s">
        <v>225</v>
      </c>
      <c r="D23" s="3" t="s">
        <v>226</v>
      </c>
      <c r="E23" s="3" t="s">
        <v>154</v>
      </c>
      <c r="F23" s="3" t="s">
        <v>227</v>
      </c>
      <c r="G23" s="3" t="s">
        <v>228</v>
      </c>
      <c r="H23" s="3" t="s">
        <v>228</v>
      </c>
      <c r="I23" s="3" t="s">
        <v>229</v>
      </c>
      <c r="J23" s="3" t="n">
        <v>116000</v>
      </c>
      <c r="K23" s="3" t="n">
        <v>16000</v>
      </c>
      <c r="L23" s="3" t="s">
        <v>27</v>
      </c>
      <c r="M23" s="3" t="n">
        <v>100000</v>
      </c>
      <c r="N23" s="3" t="n">
        <v>100000</v>
      </c>
      <c r="O23" s="3" t="s">
        <v>117</v>
      </c>
      <c r="P23" s="3"/>
      <c r="Q23" s="3"/>
      <c r="R23" s="3" t="s">
        <v>56</v>
      </c>
      <c r="S23" s="3" t="s">
        <v>230</v>
      </c>
      <c r="T23" s="3"/>
    </row>
    <row r="24" customFormat="false" ht="15" hidden="false" customHeight="false" outlineLevel="0" collapsed="false">
      <c r="A24" s="0" t="s">
        <v>231</v>
      </c>
      <c r="B24" s="0" t="s">
        <v>231</v>
      </c>
      <c r="C24" s="0" t="s">
        <v>232</v>
      </c>
      <c r="D24" s="0" t="s">
        <v>233</v>
      </c>
      <c r="E24" s="0" t="s">
        <v>234</v>
      </c>
      <c r="F24" s="0" t="s">
        <v>235</v>
      </c>
      <c r="G24" s="0" t="s">
        <v>236</v>
      </c>
      <c r="H24" s="0" t="s">
        <v>236</v>
      </c>
      <c r="I24" s="0" t="s">
        <v>237</v>
      </c>
      <c r="J24" s="0" t="n">
        <v>232000</v>
      </c>
      <c r="K24" s="0" t="n">
        <v>32000</v>
      </c>
      <c r="L24" s="0" t="s">
        <v>27</v>
      </c>
      <c r="M24" s="0" t="n">
        <v>200000</v>
      </c>
      <c r="N24" s="0" t="n">
        <v>200000</v>
      </c>
      <c r="O24" s="0" t="s">
        <v>28</v>
      </c>
      <c r="P24" s="0" t="s">
        <v>238</v>
      </c>
      <c r="Q24" s="0" t="s">
        <v>239</v>
      </c>
      <c r="R24" s="0" t="s">
        <v>77</v>
      </c>
      <c r="S24" s="0" t="s">
        <v>240</v>
      </c>
    </row>
    <row r="25" customFormat="false" ht="15" hidden="false" customHeight="false" outlineLevel="0" collapsed="false">
      <c r="A25" s="0" t="s">
        <v>148</v>
      </c>
      <c r="B25" s="0" t="s">
        <v>148</v>
      </c>
      <c r="C25" s="0" t="s">
        <v>241</v>
      </c>
      <c r="D25" s="0" t="s">
        <v>241</v>
      </c>
      <c r="E25" s="0" t="s">
        <v>192</v>
      </c>
      <c r="F25" s="0" t="s">
        <v>242</v>
      </c>
      <c r="G25" s="0" t="s">
        <v>243</v>
      </c>
      <c r="H25" s="0" t="s">
        <v>243</v>
      </c>
      <c r="I25" s="0" t="s">
        <v>244</v>
      </c>
      <c r="J25" s="0" t="n">
        <v>290000</v>
      </c>
      <c r="K25" s="0" t="n">
        <v>40000</v>
      </c>
      <c r="L25" s="0" t="s">
        <v>27</v>
      </c>
      <c r="M25" s="0" t="n">
        <v>250000</v>
      </c>
      <c r="N25" s="0" t="n">
        <v>250000</v>
      </c>
      <c r="O25" s="0" t="s">
        <v>28</v>
      </c>
      <c r="P25" s="0" t="s">
        <v>245</v>
      </c>
      <c r="Q25" s="0" t="s">
        <v>246</v>
      </c>
      <c r="R25" s="0" t="s">
        <v>110</v>
      </c>
      <c r="S25" s="0" t="s">
        <v>247</v>
      </c>
      <c r="T25" s="0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16.15" hidden="false" customHeight="false" outlineLevel="0" collapsed="false">
      <c r="A1" s="5" t="s">
        <v>249</v>
      </c>
    </row>
    <row r="3" customFormat="false" ht="15" hidden="false" customHeight="false" outlineLevel="0" collapsed="false">
      <c r="A3" s="6" t="s">
        <v>250</v>
      </c>
      <c r="B3" s="6" t="s">
        <v>251</v>
      </c>
      <c r="C3" s="6" t="s">
        <v>252</v>
      </c>
      <c r="D3" s="6" t="s">
        <v>253</v>
      </c>
      <c r="E3" s="6" t="s">
        <v>254</v>
      </c>
      <c r="F3" s="6" t="s">
        <v>255</v>
      </c>
    </row>
    <row r="4" customFormat="false" ht="15" hidden="false" customHeight="false" outlineLevel="0" collapsed="false">
      <c r="A4" s="0" t="s">
        <v>256</v>
      </c>
      <c r="B4" s="0" t="n">
        <v>969360</v>
      </c>
      <c r="C4" s="0" t="n">
        <v>125360</v>
      </c>
      <c r="D4" s="0" t="n">
        <v>116800</v>
      </c>
      <c r="E4" s="7" t="n">
        <f aca="false">C4-D4</f>
        <v>8560</v>
      </c>
      <c r="F4" s="8" t="s">
        <v>257</v>
      </c>
    </row>
    <row r="5" customFormat="false" ht="15" hidden="false" customHeight="false" outlineLevel="0" collapsed="false">
      <c r="A5" s="0" t="s">
        <v>258</v>
      </c>
      <c r="B5" s="0" t="n">
        <v>1083720</v>
      </c>
      <c r="C5" s="0" t="n">
        <v>161720</v>
      </c>
      <c r="D5" s="0" t="n">
        <v>163720</v>
      </c>
      <c r="E5" s="7" t="n">
        <f aca="false">C5-D5</f>
        <v>-2000</v>
      </c>
      <c r="F5" s="8" t="s">
        <v>259</v>
      </c>
    </row>
    <row r="6" customFormat="false" ht="15" hidden="false" customHeight="false" outlineLevel="0" collapsed="false">
      <c r="A6" s="9" t="s">
        <v>260</v>
      </c>
      <c r="F6" s="8" t="s">
        <v>261</v>
      </c>
    </row>
    <row r="9" customFormat="false" ht="15" hidden="false" customHeight="false" outlineLevel="0" collapsed="false">
      <c r="A9" s="10" t="s">
        <v>262</v>
      </c>
    </row>
    <row r="10" customFormat="false" ht="15" hidden="false" customHeight="false" outlineLevel="0" collapsed="false">
      <c r="A10" s="10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28"/>
  </cols>
  <sheetData>
    <row r="1" customFormat="false" ht="16.15" hidden="false" customHeight="false" outlineLevel="0" collapsed="false">
      <c r="A1" s="5" t="s">
        <v>264</v>
      </c>
    </row>
    <row r="3" customFormat="false" ht="15" hidden="false" customHeight="false" outlineLevel="0" collapsed="false">
      <c r="A3" s="6" t="s">
        <v>265</v>
      </c>
      <c r="B3" s="6" t="s">
        <v>266</v>
      </c>
      <c r="C3" s="6" t="s">
        <v>267</v>
      </c>
      <c r="D3" s="6" t="s">
        <v>268</v>
      </c>
      <c r="E3" s="6" t="s">
        <v>269</v>
      </c>
      <c r="F3" s="6" t="s">
        <v>270</v>
      </c>
      <c r="G3" s="6" t="s">
        <v>255</v>
      </c>
    </row>
    <row r="4" customFormat="false" ht="15" hidden="false" customHeight="false" outlineLevel="0" collapsed="false">
      <c r="A4" s="0" t="s">
        <v>113</v>
      </c>
      <c r="B4" s="0" t="n">
        <v>34800</v>
      </c>
      <c r="C4" s="0" t="n">
        <v>0</v>
      </c>
      <c r="D4" s="0" t="n">
        <v>0</v>
      </c>
      <c r="E4" s="0" t="n">
        <v>0</v>
      </c>
      <c r="F4" s="0" t="n">
        <f aca="false">SUM(B4:E4)</f>
        <v>34800</v>
      </c>
      <c r="G4" s="0" t="s">
        <v>271</v>
      </c>
    </row>
    <row r="5" customFormat="false" ht="15" hidden="false" customHeight="false" outlineLevel="0" collapsed="false">
      <c r="A5" s="0" t="s">
        <v>225</v>
      </c>
      <c r="B5" s="0" t="n">
        <v>116000</v>
      </c>
      <c r="C5" s="0" t="n">
        <v>0</v>
      </c>
      <c r="D5" s="0" t="n">
        <v>0</v>
      </c>
      <c r="E5" s="0" t="n">
        <v>0</v>
      </c>
      <c r="F5" s="0" t="n">
        <f aca="false">SUM(B5:E5)</f>
        <v>116000</v>
      </c>
    </row>
    <row r="6" customFormat="false" ht="15" hidden="false" customHeight="false" outlineLevel="0" collapsed="false">
      <c r="A6" s="0" t="s">
        <v>170</v>
      </c>
      <c r="B6" s="0" t="n">
        <v>0</v>
      </c>
      <c r="C6" s="0" t="n">
        <v>0</v>
      </c>
      <c r="D6" s="0" t="n">
        <v>696000</v>
      </c>
      <c r="E6" s="0" t="n">
        <v>0</v>
      </c>
      <c r="F6" s="0" t="n">
        <f aca="false">SUM(B6:E6)</f>
        <v>696000</v>
      </c>
      <c r="G6" s="0" t="s">
        <v>272</v>
      </c>
    </row>
    <row r="7" customFormat="false" ht="15" hidden="false" customHeight="false" outlineLevel="0" collapsed="false">
      <c r="A7" s="0" t="s">
        <v>46</v>
      </c>
      <c r="B7" s="0" t="n">
        <v>0</v>
      </c>
      <c r="C7" s="0" t="n">
        <v>0</v>
      </c>
      <c r="D7" s="0" t="n">
        <v>0</v>
      </c>
      <c r="E7" s="0" t="n">
        <v>58000</v>
      </c>
      <c r="F7" s="0" t="n">
        <f aca="false">SUM(B7:E7)</f>
        <v>58000</v>
      </c>
      <c r="G7" s="0" t="s">
        <v>273</v>
      </c>
    </row>
    <row r="8" customFormat="false" ht="15" hidden="false" customHeight="false" outlineLevel="0" collapsed="false">
      <c r="A8" s="0" t="s">
        <v>209</v>
      </c>
      <c r="B8" s="0" t="n">
        <v>15000</v>
      </c>
      <c r="C8" s="0" t="n">
        <v>0</v>
      </c>
      <c r="D8" s="0" t="n">
        <v>0</v>
      </c>
      <c r="E8" s="0" t="n">
        <v>0</v>
      </c>
      <c r="F8" s="0" t="n">
        <f aca="false">SUM(B8:E8)</f>
        <v>15000</v>
      </c>
      <c r="G8" s="0" t="s">
        <v>274</v>
      </c>
    </row>
    <row r="9" customFormat="false" ht="15" hidden="false" customHeight="false" outlineLevel="0" collapsed="false">
      <c r="A9" s="11" t="s">
        <v>275</v>
      </c>
      <c r="B9" s="11" t="n">
        <f aca="false">SUM(B4:B8)</f>
        <v>165800</v>
      </c>
      <c r="C9" s="11" t="n">
        <f aca="false">SUM(C4:C8)</f>
        <v>0</v>
      </c>
      <c r="D9" s="11" t="n">
        <f aca="false">SUM(D4:D8)</f>
        <v>696000</v>
      </c>
      <c r="E9" s="11" t="n">
        <f aca="false">SUM(E4:E8)</f>
        <v>58000</v>
      </c>
      <c r="F9" s="11" t="n">
        <f aca="false">SUM(F4:F8)</f>
        <v>919800</v>
      </c>
    </row>
    <row r="11" customFormat="false" ht="15" hidden="false" customHeight="false" outlineLevel="0" collapsed="false">
      <c r="A11" s="10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2026-06-04T07:27:52Z</dcterms:created>
  <dc:creator>openpyxl</dc:creator>
  <dc:description/>
  <dc:language>en-US</dc:language>
  <cp:lastModifiedBy/>
  <dcterms:modified xsi:type="dcterms:W3CDTF">2026-06-04T07:27:52Z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