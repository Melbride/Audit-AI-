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 " sheetId="1" state="visible" r:id="rId3"/>
    <sheet name="Vendor Master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<sst xmlns="http://schemas.openxmlformats.org/spreadsheetml/2006/main" count="510" uniqueCount="350">
  <si>
    <t xml:space="preserve">Trans #</t>
  </si>
  <si>
    <t xml:space="preserve">DATE</t>
  </si>
  <si>
    <t xml:space="preserve">date processed</t>
  </si>
  <si>
    <t xml:space="preserve">CLIENT NAME</t>
  </si>
  <si>
    <t xml:space="preserve">client name2</t>
  </si>
  <si>
    <t xml:space="preserve">Amt</t>
  </si>
  <si>
    <t xml:space="preserve">AMT (USD)</t>
  </si>
  <si>
    <t xml:space="preserve">currency </t>
  </si>
  <si>
    <t xml:space="preserve">DESCRIPTION</t>
  </si>
  <si>
    <t xml:space="preserve">Dept</t>
  </si>
  <si>
    <t xml:space="preserve">dept code</t>
  </si>
  <si>
    <t xml:space="preserve">Approved?</t>
  </si>
  <si>
    <t xml:space="preserve">Approver</t>
  </si>
  <si>
    <t xml:space="preserve">Notes/Remarks</t>
  </si>
  <si>
    <t xml:space="preserve">STATUS</t>
  </si>
  <si>
    <t xml:space="preserve">TXN-001</t>
  </si>
  <si>
    <t xml:space="preserve">01/03/2024</t>
  </si>
  <si>
    <t xml:space="preserve">Jan 3, 2024</t>
  </si>
  <si>
    <t xml:space="preserve">Kiprotich &amp; Sons Ltd</t>
  </si>
  <si>
    <t xml:space="preserve">Kiprotich and Sons</t>
  </si>
  <si>
    <t xml:space="preserve">KES</t>
  </si>
  <si>
    <t xml:space="preserve">Office supplies</t>
  </si>
  <si>
    <t xml:space="preserve">Admin</t>
  </si>
  <si>
    <t xml:space="preserve">ADM-01</t>
  </si>
  <si>
    <t xml:space="preserve">YES</t>
  </si>
  <si>
    <t xml:space="preserve">J. Mwangi</t>
  </si>
  <si>
    <t xml:space="preserve">PAID</t>
  </si>
  <si>
    <t xml:space="preserve">TXN-002</t>
  </si>
  <si>
    <t xml:space="preserve">2024-01-15</t>
  </si>
  <si>
    <t xml:space="preserve">15th Jan</t>
  </si>
  <si>
    <t xml:space="preserve">Achieng Enterprises</t>
  </si>
  <si>
    <t xml:space="preserve">Fuel &amp; transport</t>
  </si>
  <si>
    <t xml:space="preserve">Ops</t>
  </si>
  <si>
    <t xml:space="preserve">OPS-02</t>
  </si>
  <si>
    <t xml:space="preserve">yes</t>
  </si>
  <si>
    <t xml:space="preserve">A. Odhiambo</t>
  </si>
  <si>
    <t xml:space="preserve">urgent payment</t>
  </si>
  <si>
    <t xml:space="preserve">paid</t>
  </si>
  <si>
    <t xml:space="preserve">TXN-003</t>
  </si>
  <si>
    <t xml:space="preserve">January 22</t>
  </si>
  <si>
    <t xml:space="preserve">22/01/2024</t>
  </si>
  <si>
    <t xml:space="preserve">MWENDA SOLUTIONS</t>
  </si>
  <si>
    <t xml:space="preserve">Mwenda solutions</t>
  </si>
  <si>
    <t xml:space="preserve">USD</t>
  </si>
  <si>
    <t xml:space="preserve">IT Consulting</t>
  </si>
  <si>
    <t xml:space="preserve">IT</t>
  </si>
  <si>
    <t xml:space="preserve">IT-03</t>
  </si>
  <si>
    <t xml:space="preserve">No</t>
  </si>
  <si>
    <t xml:space="preserve">DISPUTED - see file</t>
  </si>
  <si>
    <t xml:space="preserve">PENDING</t>
  </si>
  <si>
    <t xml:space="preserve">TXN-004</t>
  </si>
  <si>
    <t xml:space="preserve">01.Feb.2024</t>
  </si>
  <si>
    <t xml:space="preserve">2/1/2024</t>
  </si>
  <si>
    <t xml:space="preserve">Njeri Imports</t>
  </si>
  <si>
    <t xml:space="preserve">njeri imports ltd</t>
  </si>
  <si>
    <t xml:space="preserve">Kes</t>
  </si>
  <si>
    <t xml:space="preserve">Raw materials</t>
  </si>
  <si>
    <t xml:space="preserve">Procurement</t>
  </si>
  <si>
    <t xml:space="preserve">PR-04</t>
  </si>
  <si>
    <t xml:space="preserve">Y</t>
  </si>
  <si>
    <t xml:space="preserve">S. Kariuki</t>
  </si>
  <si>
    <t xml:space="preserve">CLEARED</t>
  </si>
  <si>
    <t xml:space="preserve">TXN-005</t>
  </si>
  <si>
    <t xml:space="preserve">05-02-2024</t>
  </si>
  <si>
    <t xml:space="preserve">Feb 5 2024</t>
  </si>
  <si>
    <t xml:space="preserve">Omondi &amp; Partners</t>
  </si>
  <si>
    <t xml:space="preserve">Omondi and Partners</t>
  </si>
  <si>
    <t xml:space="preserve">ksh</t>
  </si>
  <si>
    <t xml:space="preserve">Legal fees</t>
  </si>
  <si>
    <t xml:space="preserve">Legal</t>
  </si>
  <si>
    <t xml:space="preserve">LGL-05</t>
  </si>
  <si>
    <t xml:space="preserve">C. Wanjiku</t>
  </si>
  <si>
    <t xml:space="preserve">retainer Q1</t>
  </si>
  <si>
    <t xml:space="preserve">Paid</t>
  </si>
  <si>
    <t xml:space="preserve">TXN-006</t>
  </si>
  <si>
    <t xml:space="preserve">2024/02/10</t>
  </si>
  <si>
    <t xml:space="preserve">10th Feb 2024</t>
  </si>
  <si>
    <t xml:space="preserve">Atieno Goods</t>
  </si>
  <si>
    <t xml:space="preserve">atieno goods</t>
  </si>
  <si>
    <t xml:space="preserve">Stationery</t>
  </si>
  <si>
    <t xml:space="preserve">TXN-007</t>
  </si>
  <si>
    <t xml:space="preserve">Feb-18-24</t>
  </si>
  <si>
    <t xml:space="preserve">18/02/2024</t>
  </si>
  <si>
    <t xml:space="preserve">Mutua Distributors</t>
  </si>
  <si>
    <t xml:space="preserve">Mutua Distributors Ltd</t>
  </si>
  <si>
    <t xml:space="preserve">Distribution costs</t>
  </si>
  <si>
    <t xml:space="preserve">Logistics</t>
  </si>
  <si>
    <t xml:space="preserve">LOG-06</t>
  </si>
  <si>
    <t xml:space="preserve">P. Mutua</t>
  </si>
  <si>
    <t xml:space="preserve">awaiting invoice</t>
  </si>
  <si>
    <t xml:space="preserve">ON HOLD</t>
  </si>
  <si>
    <t xml:space="preserve">TXN-008</t>
  </si>
  <si>
    <t xml:space="preserve">20/02/2024</t>
  </si>
  <si>
    <t xml:space="preserve">Feb 20, 2024</t>
  </si>
  <si>
    <t xml:space="preserve">Chebet &amp; Co</t>
  </si>
  <si>
    <t xml:space="preserve">Chebet and Co.</t>
  </si>
  <si>
    <t xml:space="preserve">Consulting - strategy review</t>
  </si>
  <si>
    <t xml:space="preserve">Exec</t>
  </si>
  <si>
    <t xml:space="preserve">EXC-07</t>
  </si>
  <si>
    <t xml:space="preserve">CEO</t>
  </si>
  <si>
    <t xml:space="preserve">TXN-009</t>
  </si>
  <si>
    <t xml:space="preserve">2024-03-01</t>
  </si>
  <si>
    <t xml:space="preserve">March 1</t>
  </si>
  <si>
    <t xml:space="preserve">Kamau Traders</t>
  </si>
  <si>
    <t xml:space="preserve">KAMAU TRADERS</t>
  </si>
  <si>
    <t xml:space="preserve">Cleaning services</t>
  </si>
  <si>
    <t xml:space="preserve">Facilities</t>
  </si>
  <si>
    <t xml:space="preserve">FAC-08</t>
  </si>
  <si>
    <t xml:space="preserve">B. Kamau</t>
  </si>
  <si>
    <t xml:space="preserve">monthly contract</t>
  </si>
  <si>
    <t xml:space="preserve">TXN-010</t>
  </si>
  <si>
    <t xml:space="preserve">3/3/24</t>
  </si>
  <si>
    <t xml:space="preserve">03-Mar-2024</t>
  </si>
  <si>
    <t xml:space="preserve">Auma Electronics</t>
  </si>
  <si>
    <t xml:space="preserve">auma electronics</t>
  </si>
  <si>
    <t xml:space="preserve">Laptop repair</t>
  </si>
  <si>
    <t xml:space="preserve">NOT APPROVED - why?</t>
  </si>
  <si>
    <t xml:space="preserve">REJECTED</t>
  </si>
  <si>
    <t xml:space="preserve">TXN-011</t>
  </si>
  <si>
    <t xml:space="preserve">March 10</t>
  </si>
  <si>
    <t xml:space="preserve">10th March 2024</t>
  </si>
  <si>
    <t xml:space="preserve">Waweru &amp; Associates</t>
  </si>
  <si>
    <t xml:space="preserve">Waweru and Associates</t>
  </si>
  <si>
    <t xml:space="preserve">Audit prep support</t>
  </si>
  <si>
    <t xml:space="preserve">Finance</t>
  </si>
  <si>
    <t xml:space="preserve">FIN-09</t>
  </si>
  <si>
    <t xml:space="preserve">D. Waweru</t>
  </si>
  <si>
    <t xml:space="preserve">TXN-012</t>
  </si>
  <si>
    <t xml:space="preserve">12-03-2024</t>
  </si>
  <si>
    <t xml:space="preserve">2024/03/12</t>
  </si>
  <si>
    <t xml:space="preserve">Simiyu Transport</t>
  </si>
  <si>
    <t xml:space="preserve">Simiyu Transport Co</t>
  </si>
  <si>
    <t xml:space="preserve">Vehicle hire</t>
  </si>
  <si>
    <t xml:space="preserve">3 trips</t>
  </si>
  <si>
    <t xml:space="preserve">TXN-013</t>
  </si>
  <si>
    <t xml:space="preserve">2024-03-20</t>
  </si>
  <si>
    <t xml:space="preserve">Mar 20</t>
  </si>
  <si>
    <t xml:space="preserve">Nafula Supplies</t>
  </si>
  <si>
    <t xml:space="preserve">nafula supplies</t>
  </si>
  <si>
    <t xml:space="preserve">Tea &amp; provisions</t>
  </si>
  <si>
    <t xml:space="preserve">TXN-014</t>
  </si>
  <si>
    <t xml:space="preserve">March 25</t>
  </si>
  <si>
    <t xml:space="preserve">25/03/2024</t>
  </si>
  <si>
    <t xml:space="preserve">Onyango IT Solutions</t>
  </si>
  <si>
    <t xml:space="preserve">Server maintenance</t>
  </si>
  <si>
    <t xml:space="preserve">CTO</t>
  </si>
  <si>
    <t xml:space="preserve">annual contract</t>
  </si>
  <si>
    <t xml:space="preserve">TXN-015</t>
  </si>
  <si>
    <t xml:space="preserve">28-03-2024</t>
  </si>
  <si>
    <t xml:space="preserve">28th March</t>
  </si>
  <si>
    <t xml:space="preserve">Cherono Catering</t>
  </si>
  <si>
    <t xml:space="preserve">cherono catering ltd</t>
  </si>
  <si>
    <t xml:space="preserve">Board meeting catering</t>
  </si>
  <si>
    <t xml:space="preserve">AGM prep</t>
  </si>
  <si>
    <t xml:space="preserve">TXN-016</t>
  </si>
  <si>
    <t xml:space="preserve">01/04/2024</t>
  </si>
  <si>
    <t xml:space="preserve">April 1 2024</t>
  </si>
  <si>
    <t xml:space="preserve">Muthoni Real Estate</t>
  </si>
  <si>
    <t xml:space="preserve">Muthoni RE</t>
  </si>
  <si>
    <t xml:space="preserve">April rent</t>
  </si>
  <si>
    <t xml:space="preserve">TXN-017</t>
  </si>
  <si>
    <t xml:space="preserve">4/5/2024</t>
  </si>
  <si>
    <t xml:space="preserve">05-Apr-2024</t>
  </si>
  <si>
    <t xml:space="preserve">Otieno Hardware</t>
  </si>
  <si>
    <t xml:space="preserve">otieno hardware</t>
  </si>
  <si>
    <t xml:space="preserve">Maintenance supplies</t>
  </si>
  <si>
    <t xml:space="preserve">verbal approval</t>
  </si>
  <si>
    <t xml:space="preserve">TXN-018</t>
  </si>
  <si>
    <t xml:space="preserve">April 10</t>
  </si>
  <si>
    <t xml:space="preserve">10th Apr</t>
  </si>
  <si>
    <t xml:space="preserve">KEBS Registration</t>
  </si>
  <si>
    <t xml:space="preserve">KEBS</t>
  </si>
  <si>
    <t xml:space="preserve">Annual certification</t>
  </si>
  <si>
    <t xml:space="preserve">Compliance</t>
  </si>
  <si>
    <t xml:space="preserve">COM-10</t>
  </si>
  <si>
    <t xml:space="preserve">Legal Head</t>
  </si>
  <si>
    <t xml:space="preserve">TXN-019</t>
  </si>
  <si>
    <t xml:space="preserve">2024-04-15</t>
  </si>
  <si>
    <t xml:space="preserve">Apr 15, 2024</t>
  </si>
  <si>
    <t xml:space="preserve">Kipchoge Logistics</t>
  </si>
  <si>
    <t xml:space="preserve">Freight charges</t>
  </si>
  <si>
    <t xml:space="preserve">N</t>
  </si>
  <si>
    <t xml:space="preserve">QUERIED by finance</t>
  </si>
  <si>
    <t xml:space="preserve">TXN-020</t>
  </si>
  <si>
    <t xml:space="preserve">20/04/2024</t>
  </si>
  <si>
    <t xml:space="preserve">2024/04/20</t>
  </si>
  <si>
    <t xml:space="preserve">Akinyi &amp; Partners Law</t>
  </si>
  <si>
    <t xml:space="preserve">Akinyi Partners</t>
  </si>
  <si>
    <t xml:space="preserve">Legal retainer - April</t>
  </si>
  <si>
    <t xml:space="preserve">TXN-021</t>
  </si>
  <si>
    <t xml:space="preserve">April 25</t>
  </si>
  <si>
    <t xml:space="preserve">25-04-2024</t>
  </si>
  <si>
    <t xml:space="preserve">Zawadi Office Park</t>
  </si>
  <si>
    <t xml:space="preserve">Zawadi Office Park Ltd</t>
  </si>
  <si>
    <t xml:space="preserve">May rent (prepaid)</t>
  </si>
  <si>
    <t xml:space="preserve">advance payment</t>
  </si>
  <si>
    <t xml:space="preserve">TXN-022</t>
  </si>
  <si>
    <t xml:space="preserve">2024-04-30</t>
  </si>
  <si>
    <t xml:space="preserve">30th Apr 2024</t>
  </si>
  <si>
    <t xml:space="preserve">Amara Cleaning Co</t>
  </si>
  <si>
    <t xml:space="preserve">amara cleaning</t>
  </si>
  <si>
    <t xml:space="preserve">Office cleaning - April</t>
  </si>
  <si>
    <t xml:space="preserve">Cleaning services (DUP?)</t>
  </si>
  <si>
    <t xml:space="preserve">TXN-023</t>
  </si>
  <si>
    <t xml:space="preserve">May 2024</t>
  </si>
  <si>
    <t xml:space="preserve">2024-05-03</t>
  </si>
  <si>
    <t xml:space="preserve">Baraka Consultants</t>
  </si>
  <si>
    <t xml:space="preserve">baraka consultants</t>
  </si>
  <si>
    <t xml:space="preserve">Strategy consulting</t>
  </si>
  <si>
    <t xml:space="preserve">TXN-024</t>
  </si>
  <si>
    <t xml:space="preserve">07-05-2024</t>
  </si>
  <si>
    <t xml:space="preserve">May 7</t>
  </si>
  <si>
    <t xml:space="preserve">Naliaka Printing</t>
  </si>
  <si>
    <t xml:space="preserve">naliaka printing</t>
  </si>
  <si>
    <t xml:space="preserve">Brochures &amp; printing</t>
  </si>
  <si>
    <t xml:space="preserve">Marketing</t>
  </si>
  <si>
    <t xml:space="preserve">MKT-11</t>
  </si>
  <si>
    <t xml:space="preserve">Yes</t>
  </si>
  <si>
    <t xml:space="preserve">Mktg Head</t>
  </si>
  <si>
    <t xml:space="preserve">Q2 campaign</t>
  </si>
  <si>
    <t xml:space="preserve">Vendor ID</t>
  </si>
  <si>
    <t xml:space="preserve">Vendor Name</t>
  </si>
  <si>
    <t xml:space="preserve">Contact Person</t>
  </si>
  <si>
    <t xml:space="preserve">Phone</t>
  </si>
  <si>
    <t xml:space="preserve">Email</t>
  </si>
  <si>
    <t xml:space="preserve">KRA PIN</t>
  </si>
  <si>
    <t xml:space="preserve">Bank Name</t>
  </si>
  <si>
    <t xml:space="preserve">Account No.</t>
  </si>
  <si>
    <t xml:space="preserve">Status</t>
  </si>
  <si>
    <t xml:space="preserve">Registered?</t>
  </si>
  <si>
    <t xml:space="preserve">Date Added</t>
  </si>
  <si>
    <t xml:space="preserve">V-001</t>
  </si>
  <si>
    <t xml:space="preserve">James Kiprotich</t>
  </si>
  <si>
    <t xml:space="preserve">0722 123456</t>
  </si>
  <si>
    <t xml:space="preserve">james@kiprotich.co.ke</t>
  </si>
  <si>
    <t xml:space="preserve">A123456789B</t>
  </si>
  <si>
    <t xml:space="preserve">Equity Bank</t>
  </si>
  <si>
    <t xml:space="preserve">1234567890</t>
  </si>
  <si>
    <t xml:space="preserve">Active</t>
  </si>
  <si>
    <t xml:space="preserve">2021-03-15</t>
  </si>
  <si>
    <t xml:space="preserve">V-002</t>
  </si>
  <si>
    <t xml:space="preserve">Grace Achieng</t>
  </si>
  <si>
    <t xml:space="preserve">0733-987654</t>
  </si>
  <si>
    <t xml:space="preserve">grace.achieng@gmail.com</t>
  </si>
  <si>
    <t xml:space="preserve">B987654321C</t>
  </si>
  <si>
    <t xml:space="preserve">KCB</t>
  </si>
  <si>
    <t xml:space="preserve">9876543210</t>
  </si>
  <si>
    <t xml:space="preserve">March 2020</t>
  </si>
  <si>
    <t xml:space="preserve">V-003</t>
  </si>
  <si>
    <t xml:space="preserve">Peter Mwenda</t>
  </si>
  <si>
    <t xml:space="preserve">+254712345678</t>
  </si>
  <si>
    <t xml:space="preserve">pmwenda@mwenda.co.ke</t>
  </si>
  <si>
    <t xml:space="preserve">Cooperative Bank</t>
  </si>
  <si>
    <t xml:space="preserve">1122334455</t>
  </si>
  <si>
    <t xml:space="preserve">SUSPENDED</t>
  </si>
  <si>
    <t xml:space="preserve">2019/06/01</t>
  </si>
  <si>
    <t xml:space="preserve">V-004</t>
  </si>
  <si>
    <t xml:space="preserve">Mary Njeri</t>
  </si>
  <si>
    <t xml:space="preserve">0700 111222</t>
  </si>
  <si>
    <t xml:space="preserve">mary@njeriimports.com</t>
  </si>
  <si>
    <t xml:space="preserve">C456789012D</t>
  </si>
  <si>
    <t xml:space="preserve">Stanbic</t>
  </si>
  <si>
    <t xml:space="preserve">5566778899</t>
  </si>
  <si>
    <t xml:space="preserve">01-Jan-2022</t>
  </si>
  <si>
    <t xml:space="preserve">V-005</t>
  </si>
  <si>
    <t xml:space="preserve">Felix Omondi</t>
  </si>
  <si>
    <t xml:space="preserve">0711222333</t>
  </si>
  <si>
    <t xml:space="preserve">D012345678E</t>
  </si>
  <si>
    <t xml:space="preserve">Absa</t>
  </si>
  <si>
    <t xml:space="preserve">3344556677</t>
  </si>
  <si>
    <t xml:space="preserve">2022-09-10</t>
  </si>
  <si>
    <t xml:space="preserve">V-006</t>
  </si>
  <si>
    <t xml:space="preserve">Dorcas Atieno</t>
  </si>
  <si>
    <t xml:space="preserve">0722333444</t>
  </si>
  <si>
    <t xml:space="preserve">datieno@gmail.com</t>
  </si>
  <si>
    <t xml:space="preserve">2233445566</t>
  </si>
  <si>
    <t xml:space="preserve">V-007</t>
  </si>
  <si>
    <t xml:space="preserve">Samuel Mutua</t>
  </si>
  <si>
    <t xml:space="preserve">0733 444555</t>
  </si>
  <si>
    <t xml:space="preserve">s.mutua@mutuadist.com</t>
  </si>
  <si>
    <t xml:space="preserve">E678901234F</t>
  </si>
  <si>
    <t xml:space="preserve">6677889900</t>
  </si>
  <si>
    <t xml:space="preserve">2020-11-30</t>
  </si>
  <si>
    <t xml:space="preserve">V-008</t>
  </si>
  <si>
    <t xml:space="preserve">Lydia Chebet</t>
  </si>
  <si>
    <t xml:space="preserve">0712555666</t>
  </si>
  <si>
    <t xml:space="preserve">chebet@chebet.co.ke</t>
  </si>
  <si>
    <t xml:space="preserve">F234567890G</t>
  </si>
  <si>
    <t xml:space="preserve">Standard Chartered</t>
  </si>
  <si>
    <t xml:space="preserve">7788990011</t>
  </si>
  <si>
    <t xml:space="preserve">2018-05-22</t>
  </si>
  <si>
    <t xml:space="preserve">V-009</t>
  </si>
  <si>
    <t xml:space="preserve">Brian Kamau</t>
  </si>
  <si>
    <t xml:space="preserve">0722 666777</t>
  </si>
  <si>
    <t xml:space="preserve">bkamau@kamautrade.co.ke</t>
  </si>
  <si>
    <t xml:space="preserve">G890123456H</t>
  </si>
  <si>
    <t xml:space="preserve">8899001122</t>
  </si>
  <si>
    <t xml:space="preserve">2021/07/15</t>
  </si>
  <si>
    <t xml:space="preserve">V-010</t>
  </si>
  <si>
    <t xml:space="preserve">Susan Auma</t>
  </si>
  <si>
    <t xml:space="preserve">0733777888</t>
  </si>
  <si>
    <t xml:space="preserve">sumauma@yahoo.com</t>
  </si>
  <si>
    <t xml:space="preserve">9900112233</t>
  </si>
  <si>
    <t xml:space="preserve">Inactive</t>
  </si>
  <si>
    <t xml:space="preserve">2017-02-28</t>
  </si>
  <si>
    <t xml:space="preserve">V-011</t>
  </si>
  <si>
    <t xml:space="preserve">David Waweru</t>
  </si>
  <si>
    <t xml:space="preserve">0700 888999</t>
  </si>
  <si>
    <t xml:space="preserve">dwaweru@waweru.com</t>
  </si>
  <si>
    <t xml:space="preserve">H456789012I</t>
  </si>
  <si>
    <t xml:space="preserve">NCBA</t>
  </si>
  <si>
    <t xml:space="preserve">0011223344</t>
  </si>
  <si>
    <t xml:space="preserve">April 1, 2023</t>
  </si>
  <si>
    <t xml:space="preserve">V-012</t>
  </si>
  <si>
    <t xml:space="preserve">Thomas Simiyu</t>
  </si>
  <si>
    <t xml:space="preserve">0711 999000</t>
  </si>
  <si>
    <t xml:space="preserve">tsimiyu@simiyutrans.co.ke</t>
  </si>
  <si>
    <t xml:space="preserve">I012345678J</t>
  </si>
  <si>
    <t xml:space="preserve">1122334456</t>
  </si>
  <si>
    <t xml:space="preserve">2019-08-14</t>
  </si>
  <si>
    <t xml:space="preserve">V-013</t>
  </si>
  <si>
    <t xml:space="preserve">Eunice Nafula</t>
  </si>
  <si>
    <t xml:space="preserve">0722000111</t>
  </si>
  <si>
    <t xml:space="preserve">2023-01-05</t>
  </si>
  <si>
    <t xml:space="preserve">V-014</t>
  </si>
  <si>
    <t xml:space="preserve">Kevin Onyango</t>
  </si>
  <si>
    <t xml:space="preserve">0700 111333</t>
  </si>
  <si>
    <t xml:space="preserve">kevin@onyangoit.co.ke</t>
  </si>
  <si>
    <t xml:space="preserve">J678901234K</t>
  </si>
  <si>
    <t xml:space="preserve">I&amp;M Bank</t>
  </si>
  <si>
    <t xml:space="preserve">2244668800</t>
  </si>
  <si>
    <t xml:space="preserve">2020-03-19</t>
  </si>
  <si>
    <t xml:space="preserve">V-015</t>
  </si>
  <si>
    <t xml:space="preserve">Rose Cherono</t>
  </si>
  <si>
    <t xml:space="preserve">0733 222444</t>
  </si>
  <si>
    <t xml:space="preserve">rcherono@cheronofood.com</t>
  </si>
  <si>
    <t xml:space="preserve">K234567890L</t>
  </si>
  <si>
    <t xml:space="preserve">Family Bank</t>
  </si>
  <si>
    <t xml:space="preserve">3355779911</t>
  </si>
  <si>
    <t xml:space="preserve">2022-12-01</t>
  </si>
  <si>
    <t xml:space="preserve">EXPENDITURE SUMMARY - Q1/Q2 2024</t>
  </si>
  <si>
    <t xml:space="preserve">Department</t>
  </si>
  <si>
    <t xml:space="preserve">Total Spend (KES)</t>
  </si>
  <si>
    <t xml:space="preserve">No. of Transactions</t>
  </si>
  <si>
    <t xml:space="preserve">% of Total</t>
  </si>
  <si>
    <t xml:space="preserve">Operations</t>
  </si>
  <si>
    <t xml:space="preserve">Executive</t>
  </si>
  <si>
    <t xml:space="preserve">TOTAL</t>
  </si>
  <si>
    <t xml:space="preserve">Note: USD transactions converted at approximate rates. See 'FX Rates' tab.</t>
  </si>
  <si>
    <t xml:space="preserve">WARNING: Pending transactions not included. TXN-003, TXN-007, TXN-019 unresolved.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</si>
</sst>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Arial"/>
      <family val="0"/>
      <charset val="1"/>
    </font>
    <font>
      <b val="true"/>
      <sz val="14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FF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5" min="4" style="0" width="22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14"/>
    <col collapsed="false" customWidth="true" hidden="false" outlineLevel="0" max="14" min="14" style="0" width="22"/>
    <col collapsed="false" customWidth="true" hidden="false" outlineLevel="0" max="15" min="15" style="0" width="10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2" t="s">
        <v>11</v>
      </c>
      <c r="M1" s="1" t="s">
        <v>12</v>
      </c>
      <c r="N1" s="2" t="s">
        <v>13</v>
      </c>
      <c r="O1" s="3" t="s">
        <v>14</v>
      </c>
    </row>
    <row r="2" customFormat="false" ht="13.5" hidden="false" customHeight="tru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n">
        <v>15000</v>
      </c>
      <c r="G2" s="0" t="n">
        <v>15000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  <c r="O2" s="0" t="s">
        <v>26</v>
      </c>
    </row>
    <row r="3" customFormat="false" ht="18" hidden="false" customHeight="true" outlineLevel="0" collapsed="false">
      <c r="A3" s="0" t="s">
        <v>27</v>
      </c>
      <c r="B3" s="0" t="s">
        <v>28</v>
      </c>
      <c r="C3" s="0" t="s">
        <v>29</v>
      </c>
      <c r="D3" s="0" t="s">
        <v>30</v>
      </c>
      <c r="E3" s="0" t="s">
        <v>30</v>
      </c>
      <c r="F3" s="0" t="n">
        <v>8500</v>
      </c>
      <c r="H3" s="0" t="s">
        <v>20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</row>
    <row r="4" customFormat="false" ht="13.5" hidden="false" customHeight="true" outlineLevel="0" collapsed="false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/>
      <c r="G4" s="5" t="n">
        <v>22000</v>
      </c>
      <c r="H4" s="5" t="s">
        <v>43</v>
      </c>
      <c r="I4" s="5" t="s">
        <v>44</v>
      </c>
      <c r="J4" s="5" t="s">
        <v>45</v>
      </c>
      <c r="K4" s="5" t="s">
        <v>46</v>
      </c>
      <c r="L4" s="5" t="s">
        <v>47</v>
      </c>
      <c r="M4" s="5"/>
      <c r="N4" s="5" t="s">
        <v>48</v>
      </c>
      <c r="O4" s="5" t="s">
        <v>49</v>
      </c>
    </row>
    <row r="5" customFormat="false" ht="13.5" hidden="false" customHeight="true" outlineLevel="0" collapsed="false">
      <c r="A5" s="0" t="s">
        <v>50</v>
      </c>
      <c r="B5" s="0" t="s">
        <v>51</v>
      </c>
      <c r="C5" s="0" t="s">
        <v>52</v>
      </c>
      <c r="D5" s="0" t="s">
        <v>53</v>
      </c>
      <c r="E5" s="0" t="s">
        <v>54</v>
      </c>
      <c r="F5" s="0" t="n">
        <v>30000</v>
      </c>
      <c r="G5" s="0" t="n">
        <v>30000</v>
      </c>
      <c r="H5" s="0" t="s">
        <v>55</v>
      </c>
      <c r="I5" s="0" t="s">
        <v>56</v>
      </c>
      <c r="J5" s="0" t="s">
        <v>57</v>
      </c>
      <c r="K5" s="0" t="s">
        <v>58</v>
      </c>
      <c r="L5" s="0" t="s">
        <v>59</v>
      </c>
      <c r="M5" s="0" t="s">
        <v>60</v>
      </c>
      <c r="O5" s="0" t="s">
        <v>61</v>
      </c>
    </row>
    <row r="6" customFormat="false" ht="18" hidden="false" customHeight="true" outlineLevel="0" collapsed="false">
      <c r="A6" s="0" t="s">
        <v>62</v>
      </c>
      <c r="B6" s="0" t="s">
        <v>63</v>
      </c>
      <c r="C6" s="0" t="s">
        <v>64</v>
      </c>
      <c r="D6" s="0" t="s">
        <v>65</v>
      </c>
      <c r="E6" s="0" t="s">
        <v>66</v>
      </c>
      <c r="F6" s="0" t="n">
        <v>12750</v>
      </c>
      <c r="G6" s="0" t="n">
        <v>12750</v>
      </c>
      <c r="H6" s="0" t="s">
        <v>67</v>
      </c>
      <c r="I6" s="0" t="s">
        <v>68</v>
      </c>
      <c r="J6" s="0" t="s">
        <v>69</v>
      </c>
      <c r="K6" s="0" t="s">
        <v>70</v>
      </c>
      <c r="L6" s="0" t="s">
        <v>24</v>
      </c>
      <c r="M6" s="0" t="s">
        <v>71</v>
      </c>
      <c r="N6" s="0" t="s">
        <v>72</v>
      </c>
      <c r="O6" s="0" t="s">
        <v>73</v>
      </c>
    </row>
    <row r="7" customFormat="false" ht="13.5" hidden="false" customHeight="true" outlineLevel="0" collapsed="false">
      <c r="A7" s="0" t="s">
        <v>74</v>
      </c>
      <c r="B7" s="0" t="s">
        <v>75</v>
      </c>
      <c r="C7" s="0" t="s">
        <v>76</v>
      </c>
      <c r="D7" s="0" t="s">
        <v>77</v>
      </c>
      <c r="E7" s="0" t="s">
        <v>78</v>
      </c>
      <c r="F7" s="0" t="n">
        <v>5600</v>
      </c>
      <c r="G7" s="0" t="n">
        <v>5600</v>
      </c>
      <c r="H7" s="0" t="s">
        <v>20</v>
      </c>
      <c r="I7" s="0" t="s">
        <v>79</v>
      </c>
      <c r="J7" s="0" t="s">
        <v>22</v>
      </c>
      <c r="K7" s="0" t="s">
        <v>23</v>
      </c>
      <c r="M7" s="0" t="s">
        <v>25</v>
      </c>
    </row>
    <row r="8" customFormat="false" ht="13.5" hidden="false" customHeight="true" outlineLevel="0" collapsed="false">
      <c r="A8" s="5" t="s">
        <v>80</v>
      </c>
      <c r="B8" s="5" t="s">
        <v>81</v>
      </c>
      <c r="C8" s="5" t="s">
        <v>82</v>
      </c>
      <c r="D8" s="5" t="s">
        <v>83</v>
      </c>
      <c r="E8" s="5" t="s">
        <v>84</v>
      </c>
      <c r="F8" s="5"/>
      <c r="G8" s="5"/>
      <c r="H8" s="5" t="s">
        <v>20</v>
      </c>
      <c r="I8" s="5" t="s">
        <v>85</v>
      </c>
      <c r="J8" s="5" t="s">
        <v>86</v>
      </c>
      <c r="K8" s="5" t="s">
        <v>87</v>
      </c>
      <c r="L8" s="5" t="s">
        <v>24</v>
      </c>
      <c r="M8" s="5" t="s">
        <v>88</v>
      </c>
      <c r="N8" s="5" t="s">
        <v>89</v>
      </c>
      <c r="O8" s="5" t="s">
        <v>90</v>
      </c>
    </row>
    <row r="9" customFormat="false" ht="18" hidden="false" customHeight="true" outlineLevel="0" collapsed="false">
      <c r="A9" s="0" t="s">
        <v>91</v>
      </c>
      <c r="B9" s="0" t="s">
        <v>92</v>
      </c>
      <c r="C9" s="0" t="s">
        <v>93</v>
      </c>
      <c r="D9" s="0" t="s">
        <v>94</v>
      </c>
      <c r="E9" s="0" t="s">
        <v>95</v>
      </c>
      <c r="F9" s="0" t="n">
        <v>45000</v>
      </c>
      <c r="G9" s="0" t="n">
        <v>45000</v>
      </c>
      <c r="H9" s="0" t="s">
        <v>43</v>
      </c>
      <c r="I9" s="0" t="s">
        <v>96</v>
      </c>
      <c r="J9" s="0" t="s">
        <v>97</v>
      </c>
      <c r="K9" s="0" t="s">
        <v>98</v>
      </c>
      <c r="L9" s="0" t="s">
        <v>24</v>
      </c>
      <c r="M9" s="0" t="s">
        <v>99</v>
      </c>
      <c r="O9" s="0" t="s">
        <v>26</v>
      </c>
    </row>
    <row r="10" customFormat="false" ht="13.5" hidden="false" customHeight="true" outlineLevel="0" collapsed="false">
      <c r="A10" s="0" t="s">
        <v>100</v>
      </c>
      <c r="B10" s="0" t="s">
        <v>101</v>
      </c>
      <c r="C10" s="0" t="s">
        <v>102</v>
      </c>
      <c r="D10" s="0" t="s">
        <v>103</v>
      </c>
      <c r="E10" s="0" t="s">
        <v>104</v>
      </c>
      <c r="F10" s="0" t="n">
        <v>7200</v>
      </c>
      <c r="G10" s="0" t="n">
        <v>7</v>
      </c>
      <c r="H10" s="0" t="n">
        <v>200</v>
      </c>
      <c r="I10" s="0" t="s">
        <v>20</v>
      </c>
      <c r="J10" s="0" t="s">
        <v>105</v>
      </c>
      <c r="K10" s="0" t="s">
        <v>106</v>
      </c>
      <c r="L10" s="0" t="s">
        <v>107</v>
      </c>
      <c r="M10" s="0" t="s">
        <v>34</v>
      </c>
      <c r="N10" s="0" t="s">
        <v>108</v>
      </c>
      <c r="O10" s="0" t="s">
        <v>109</v>
      </c>
      <c r="P10" s="0" t="s">
        <v>37</v>
      </c>
    </row>
    <row r="11" customFormat="false" ht="13.5" hidden="false" customHeight="true" outlineLevel="0" collapsed="false">
      <c r="A11" s="0" t="s">
        <v>110</v>
      </c>
      <c r="B11" s="0" t="s">
        <v>111</v>
      </c>
      <c r="C11" s="0" t="s">
        <v>112</v>
      </c>
      <c r="D11" s="0" t="s">
        <v>113</v>
      </c>
      <c r="E11" s="0" t="s">
        <v>114</v>
      </c>
      <c r="F11" s="0" t="n">
        <v>18000</v>
      </c>
      <c r="G11" s="0" t="n">
        <v>18000</v>
      </c>
      <c r="H11" s="0" t="s">
        <v>55</v>
      </c>
      <c r="I11" s="0" t="s">
        <v>115</v>
      </c>
      <c r="J11" s="0" t="s">
        <v>45</v>
      </c>
      <c r="K11" s="0" t="s">
        <v>46</v>
      </c>
      <c r="L11" s="0" t="s">
        <v>47</v>
      </c>
      <c r="N11" s="0" t="s">
        <v>116</v>
      </c>
      <c r="O11" s="0" t="s">
        <v>117</v>
      </c>
    </row>
    <row r="12" customFormat="false" ht="18" hidden="false" customHeight="true" outlineLevel="0" collapsed="false">
      <c r="A12" s="0" t="s">
        <v>118</v>
      </c>
      <c r="B12" s="0" t="s">
        <v>119</v>
      </c>
      <c r="C12" s="0" t="s">
        <v>120</v>
      </c>
      <c r="D12" s="0" t="s">
        <v>121</v>
      </c>
      <c r="E12" s="0" t="s">
        <v>122</v>
      </c>
      <c r="F12" s="0" t="n">
        <v>9500</v>
      </c>
      <c r="G12" s="0" t="n">
        <v>9500</v>
      </c>
      <c r="H12" s="0" t="s">
        <v>67</v>
      </c>
      <c r="I12" s="0" t="s">
        <v>123</v>
      </c>
      <c r="J12" s="0" t="s">
        <v>124</v>
      </c>
      <c r="K12" s="0" t="s">
        <v>125</v>
      </c>
      <c r="L12" s="0" t="s">
        <v>24</v>
      </c>
      <c r="M12" s="0" t="s">
        <v>126</v>
      </c>
      <c r="O12" s="0" t="s">
        <v>26</v>
      </c>
    </row>
    <row r="13" customFormat="false" ht="13.5" hidden="false" customHeight="true" outlineLevel="0" collapsed="false">
      <c r="A13" s="0" t="s">
        <v>127</v>
      </c>
      <c r="B13" s="0" t="s">
        <v>128</v>
      </c>
      <c r="C13" s="0" t="s">
        <v>129</v>
      </c>
      <c r="D13" s="0" t="s">
        <v>130</v>
      </c>
      <c r="E13" s="0" t="s">
        <v>131</v>
      </c>
      <c r="F13" s="0" t="n">
        <v>25000</v>
      </c>
      <c r="H13" s="0" t="s">
        <v>20</v>
      </c>
      <c r="I13" s="0" t="s">
        <v>132</v>
      </c>
      <c r="J13" s="0" t="s">
        <v>32</v>
      </c>
      <c r="K13" s="0" t="s">
        <v>33</v>
      </c>
      <c r="L13" s="0" t="s">
        <v>59</v>
      </c>
      <c r="M13" s="0" t="s">
        <v>35</v>
      </c>
      <c r="N13" s="0" t="s">
        <v>133</v>
      </c>
      <c r="O13" s="0" t="s">
        <v>61</v>
      </c>
    </row>
    <row r="14" customFormat="false" ht="13.5" hidden="false" customHeight="true" outlineLevel="0" collapsed="false">
      <c r="A14" s="0" t="s">
        <v>134</v>
      </c>
      <c r="B14" s="0" t="s">
        <v>135</v>
      </c>
      <c r="C14" s="0" t="s">
        <v>136</v>
      </c>
      <c r="D14" s="0" t="s">
        <v>137</v>
      </c>
      <c r="E14" s="0" t="s">
        <v>138</v>
      </c>
      <c r="F14" s="0" t="n">
        <v>3300</v>
      </c>
      <c r="G14" s="0" t="n">
        <v>3300</v>
      </c>
      <c r="H14" s="0" t="s">
        <v>20</v>
      </c>
      <c r="I14" s="0" t="s">
        <v>139</v>
      </c>
      <c r="J14" s="0" t="s">
        <v>22</v>
      </c>
      <c r="K14" s="0" t="s">
        <v>23</v>
      </c>
      <c r="L14" s="0" t="s">
        <v>34</v>
      </c>
      <c r="M14" s="0" t="s">
        <v>25</v>
      </c>
      <c r="O14" s="0" t="s">
        <v>73</v>
      </c>
    </row>
    <row r="15" customFormat="false" ht="18" hidden="false" customHeight="true" outlineLevel="0" collapsed="false">
      <c r="A15" s="0" t="s">
        <v>140</v>
      </c>
      <c r="B15" s="0" t="s">
        <v>141</v>
      </c>
      <c r="C15" s="0" t="s">
        <v>142</v>
      </c>
      <c r="D15" s="0" t="s">
        <v>143</v>
      </c>
      <c r="E15" s="0" t="s">
        <v>143</v>
      </c>
      <c r="F15" s="0" t="n">
        <v>60000</v>
      </c>
      <c r="G15" s="0" t="n">
        <v>60000</v>
      </c>
      <c r="H15" s="0" t="s">
        <v>43</v>
      </c>
      <c r="I15" s="0" t="s">
        <v>144</v>
      </c>
      <c r="J15" s="0" t="s">
        <v>45</v>
      </c>
      <c r="K15" s="0" t="s">
        <v>46</v>
      </c>
      <c r="L15" s="0" t="s">
        <v>24</v>
      </c>
      <c r="M15" s="0" t="s">
        <v>145</v>
      </c>
      <c r="N15" s="0" t="s">
        <v>146</v>
      </c>
      <c r="O15" s="0" t="s">
        <v>26</v>
      </c>
    </row>
    <row r="16" customFormat="false" ht="13.5" hidden="false" customHeight="true" outlineLevel="0" collapsed="false">
      <c r="A16" s="0" t="s">
        <v>147</v>
      </c>
      <c r="B16" s="0" t="s">
        <v>148</v>
      </c>
      <c r="C16" s="0" t="s">
        <v>149</v>
      </c>
      <c r="D16" s="0" t="s">
        <v>150</v>
      </c>
      <c r="E16" s="0" t="s">
        <v>151</v>
      </c>
      <c r="F16" s="0" t="n">
        <v>14500</v>
      </c>
      <c r="G16" s="0" t="n">
        <v>14500</v>
      </c>
      <c r="H16" s="0" t="s">
        <v>55</v>
      </c>
      <c r="I16" s="0" t="s">
        <v>152</v>
      </c>
      <c r="J16" s="0" t="s">
        <v>97</v>
      </c>
      <c r="K16" s="0" t="s">
        <v>98</v>
      </c>
      <c r="L16" s="0" t="s">
        <v>24</v>
      </c>
      <c r="M16" s="0" t="s">
        <v>99</v>
      </c>
      <c r="N16" s="0" t="s">
        <v>153</v>
      </c>
      <c r="O16" s="0" t="s">
        <v>37</v>
      </c>
    </row>
    <row r="17" customFormat="false" ht="13.5" hidden="false" customHeight="true" outlineLevel="0" collapsed="false">
      <c r="A17" s="0" t="s">
        <v>154</v>
      </c>
      <c r="B17" s="0" t="s">
        <v>155</v>
      </c>
      <c r="C17" s="0" t="s">
        <v>156</v>
      </c>
      <c r="D17" s="0" t="s">
        <v>157</v>
      </c>
      <c r="E17" s="0" t="s">
        <v>158</v>
      </c>
      <c r="F17" s="0" t="n">
        <v>120000</v>
      </c>
      <c r="G17" s="0" t="n">
        <v>120000</v>
      </c>
      <c r="H17" s="0" t="s">
        <v>20</v>
      </c>
      <c r="I17" s="0" t="s">
        <v>159</v>
      </c>
      <c r="J17" s="0" t="s">
        <v>106</v>
      </c>
      <c r="K17" s="0" t="s">
        <v>107</v>
      </c>
      <c r="L17" s="0" t="s">
        <v>24</v>
      </c>
      <c r="M17" s="0" t="s">
        <v>108</v>
      </c>
      <c r="O17" s="0" t="s">
        <v>26</v>
      </c>
    </row>
    <row r="18" customFormat="false" ht="18" hidden="false" customHeight="true" outlineLevel="0" collapsed="false">
      <c r="A18" s="0" t="s">
        <v>160</v>
      </c>
      <c r="B18" s="0" t="s">
        <v>161</v>
      </c>
      <c r="C18" s="0" t="s">
        <v>162</v>
      </c>
      <c r="D18" s="0" t="s">
        <v>163</v>
      </c>
      <c r="E18" s="0" t="s">
        <v>164</v>
      </c>
      <c r="F18" s="0" t="n">
        <v>8800</v>
      </c>
      <c r="G18" s="0" t="n">
        <v>8800</v>
      </c>
      <c r="H18" s="0" t="s">
        <v>67</v>
      </c>
      <c r="I18" s="0" t="s">
        <v>165</v>
      </c>
      <c r="J18" s="0" t="s">
        <v>106</v>
      </c>
      <c r="K18" s="0" t="s">
        <v>107</v>
      </c>
      <c r="L18" s="0" t="s">
        <v>34</v>
      </c>
      <c r="N18" s="0" t="s">
        <v>166</v>
      </c>
      <c r="O18" s="0" t="s">
        <v>61</v>
      </c>
    </row>
    <row r="19" customFormat="false" ht="13.5" hidden="false" customHeight="true" outlineLevel="0" collapsed="false">
      <c r="A19" s="0" t="s">
        <v>167</v>
      </c>
      <c r="B19" s="0" t="s">
        <v>168</v>
      </c>
      <c r="C19" s="0" t="s">
        <v>169</v>
      </c>
      <c r="D19" s="0" t="s">
        <v>170</v>
      </c>
      <c r="E19" s="0" t="s">
        <v>171</v>
      </c>
      <c r="F19" s="0" t="n">
        <v>15000</v>
      </c>
      <c r="G19" s="0" t="n">
        <v>15000</v>
      </c>
      <c r="H19" s="0" t="s">
        <v>20</v>
      </c>
      <c r="I19" s="0" t="s">
        <v>172</v>
      </c>
      <c r="J19" s="0" t="s">
        <v>173</v>
      </c>
      <c r="K19" s="0" t="s">
        <v>174</v>
      </c>
      <c r="L19" s="0" t="s">
        <v>24</v>
      </c>
      <c r="M19" s="0" t="s">
        <v>175</v>
      </c>
      <c r="O19" s="0" t="s">
        <v>26</v>
      </c>
    </row>
    <row r="20" customFormat="false" ht="13.5" hidden="false" customHeight="true" outlineLevel="0" collapsed="false">
      <c r="A20" s="0" t="s">
        <v>176</v>
      </c>
      <c r="B20" s="0" t="s">
        <v>177</v>
      </c>
      <c r="C20" s="0" t="s">
        <v>178</v>
      </c>
      <c r="D20" s="0" t="s">
        <v>179</v>
      </c>
      <c r="E20" s="0" t="s">
        <v>179</v>
      </c>
      <c r="G20" s="0" t="n">
        <v>33000</v>
      </c>
      <c r="H20" s="0" t="s">
        <v>20</v>
      </c>
      <c r="I20" s="0" t="s">
        <v>180</v>
      </c>
      <c r="J20" s="0" t="s">
        <v>86</v>
      </c>
      <c r="K20" s="0" t="s">
        <v>87</v>
      </c>
      <c r="L20" s="0" t="s">
        <v>181</v>
      </c>
      <c r="M20" s="0" t="s">
        <v>88</v>
      </c>
      <c r="N20" s="0" t="s">
        <v>182</v>
      </c>
      <c r="O20" s="0" t="s">
        <v>49</v>
      </c>
    </row>
    <row r="21" customFormat="false" ht="18" hidden="false" customHeight="true" outlineLevel="0" collapsed="false">
      <c r="A21" s="0" t="s">
        <v>183</v>
      </c>
      <c r="B21" s="0" t="s">
        <v>184</v>
      </c>
      <c r="C21" s="0" t="s">
        <v>185</v>
      </c>
      <c r="D21" s="0" t="s">
        <v>186</v>
      </c>
      <c r="E21" s="0" t="s">
        <v>187</v>
      </c>
      <c r="F21" s="0" t="n">
        <v>40000</v>
      </c>
      <c r="G21" s="0" t="n">
        <v>40000</v>
      </c>
      <c r="H21" s="0" t="s">
        <v>43</v>
      </c>
      <c r="I21" s="0" t="s">
        <v>188</v>
      </c>
      <c r="J21" s="0" t="s">
        <v>69</v>
      </c>
      <c r="K21" s="0" t="s">
        <v>70</v>
      </c>
      <c r="L21" s="0" t="s">
        <v>24</v>
      </c>
      <c r="M21" s="0" t="s">
        <v>71</v>
      </c>
      <c r="O21" s="0" t="s">
        <v>26</v>
      </c>
    </row>
    <row r="22" customFormat="false" ht="13.5" hidden="false" customHeight="true" outlineLevel="0" collapsed="false"/>
    <row r="23" customFormat="false" ht="13.5" hidden="false" customHeight="true" outlineLevel="0" collapsed="false">
      <c r="A23" s="0" t="s">
        <v>189</v>
      </c>
      <c r="B23" s="0" t="s">
        <v>190</v>
      </c>
      <c r="C23" s="0" t="s">
        <v>191</v>
      </c>
      <c r="D23" s="0" t="s">
        <v>192</v>
      </c>
      <c r="E23" s="0" t="s">
        <v>193</v>
      </c>
      <c r="F23" s="0" t="n">
        <v>120000</v>
      </c>
      <c r="G23" s="0" t="n">
        <v>120000</v>
      </c>
      <c r="H23" s="0" t="s">
        <v>20</v>
      </c>
      <c r="I23" s="0" t="s">
        <v>194</v>
      </c>
      <c r="J23" s="0" t="s">
        <v>106</v>
      </c>
      <c r="K23" s="0" t="s">
        <v>107</v>
      </c>
      <c r="L23" s="0" t="s">
        <v>24</v>
      </c>
      <c r="M23" s="0" t="s">
        <v>108</v>
      </c>
      <c r="N23" s="0" t="s">
        <v>195</v>
      </c>
      <c r="O23" s="0" t="s">
        <v>26</v>
      </c>
    </row>
    <row r="24" customFormat="false" ht="18" hidden="false" customHeight="true" outlineLevel="0" collapsed="false">
      <c r="A24" s="5" t="s">
        <v>196</v>
      </c>
      <c r="B24" s="5" t="s">
        <v>197</v>
      </c>
      <c r="C24" s="5" t="s">
        <v>198</v>
      </c>
      <c r="D24" s="5" t="s">
        <v>199</v>
      </c>
      <c r="E24" s="5" t="s">
        <v>200</v>
      </c>
      <c r="F24" s="5" t="n">
        <v>6000</v>
      </c>
      <c r="G24" s="5" t="n">
        <v>6000</v>
      </c>
      <c r="H24" s="5" t="s">
        <v>55</v>
      </c>
      <c r="I24" s="5" t="s">
        <v>201</v>
      </c>
      <c r="J24" s="5" t="s">
        <v>106</v>
      </c>
      <c r="K24" s="5" t="s">
        <v>107</v>
      </c>
      <c r="L24" s="5" t="s">
        <v>34</v>
      </c>
      <c r="M24" s="5" t="s">
        <v>108</v>
      </c>
      <c r="N24" s="5"/>
      <c r="O24" s="5" t="s">
        <v>37</v>
      </c>
    </row>
    <row r="25" customFormat="false" ht="13.5" hidden="false" customHeight="true" outlineLevel="0" collapsed="false">
      <c r="A25" s="0" t="s">
        <v>100</v>
      </c>
      <c r="B25" s="0" t="s">
        <v>101</v>
      </c>
      <c r="C25" s="0" t="s">
        <v>102</v>
      </c>
      <c r="D25" s="0" t="s">
        <v>103</v>
      </c>
      <c r="E25" s="0" t="s">
        <v>104</v>
      </c>
      <c r="F25" s="0" t="n">
        <v>7200</v>
      </c>
      <c r="G25" s="0" t="n">
        <v>7200</v>
      </c>
      <c r="H25" s="0" t="s">
        <v>20</v>
      </c>
      <c r="I25" s="0" t="s">
        <v>202</v>
      </c>
      <c r="J25" s="0" t="s">
        <v>106</v>
      </c>
      <c r="K25" s="0" t="s">
        <v>107</v>
      </c>
      <c r="L25" s="0" t="s">
        <v>34</v>
      </c>
      <c r="M25" s="0" t="s">
        <v>108</v>
      </c>
      <c r="N25" s="0" t="s">
        <v>109</v>
      </c>
      <c r="O25" s="0" t="s">
        <v>37</v>
      </c>
    </row>
    <row r="26" customFormat="false" ht="13.5" hidden="false" customHeight="true" outlineLevel="0" collapsed="false">
      <c r="A26" s="0" t="s">
        <v>203</v>
      </c>
      <c r="B26" s="0" t="s">
        <v>204</v>
      </c>
      <c r="C26" s="0" t="s">
        <v>205</v>
      </c>
      <c r="D26" s="0" t="s">
        <v>206</v>
      </c>
      <c r="E26" s="0" t="s">
        <v>207</v>
      </c>
      <c r="F26" s="0" t="n">
        <v>55000</v>
      </c>
      <c r="G26" s="0" t="n">
        <v>55000</v>
      </c>
      <c r="H26" s="0" t="s">
        <v>43</v>
      </c>
      <c r="I26" s="0" t="s">
        <v>208</v>
      </c>
      <c r="J26" s="0" t="s">
        <v>97</v>
      </c>
      <c r="K26" s="0" t="s">
        <v>98</v>
      </c>
      <c r="L26" s="0" t="s">
        <v>24</v>
      </c>
      <c r="M26" s="0" t="s">
        <v>99</v>
      </c>
      <c r="O26" s="0" t="s">
        <v>26</v>
      </c>
    </row>
    <row r="27" customFormat="false" ht="18" hidden="false" customHeight="true" outlineLevel="0" collapsed="false">
      <c r="A27" s="0" t="s">
        <v>209</v>
      </c>
      <c r="B27" s="0" t="s">
        <v>210</v>
      </c>
      <c r="C27" s="0" t="s">
        <v>211</v>
      </c>
      <c r="D27" s="0" t="s">
        <v>212</v>
      </c>
      <c r="E27" s="0" t="s">
        <v>213</v>
      </c>
      <c r="F27" s="0" t="n">
        <v>4200</v>
      </c>
      <c r="G27" s="0" t="n">
        <v>4200</v>
      </c>
      <c r="H27" s="0" t="s">
        <v>20</v>
      </c>
      <c r="I27" s="0" t="s">
        <v>214</v>
      </c>
      <c r="J27" s="0" t="s">
        <v>215</v>
      </c>
      <c r="K27" s="0" t="s">
        <v>216</v>
      </c>
      <c r="L27" s="0" t="s">
        <v>217</v>
      </c>
      <c r="M27" s="0" t="s">
        <v>218</v>
      </c>
      <c r="N27" s="0" t="s">
        <v>219</v>
      </c>
      <c r="O27" s="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6" t="s">
        <v>220</v>
      </c>
      <c r="B1" s="6" t="s">
        <v>221</v>
      </c>
      <c r="C1" s="6" t="s">
        <v>222</v>
      </c>
      <c r="D1" s="6" t="s">
        <v>223</v>
      </c>
      <c r="E1" s="6" t="s">
        <v>224</v>
      </c>
      <c r="F1" s="6" t="s">
        <v>225</v>
      </c>
      <c r="G1" s="6" t="s">
        <v>226</v>
      </c>
      <c r="H1" s="6" t="s">
        <v>227</v>
      </c>
      <c r="I1" s="6" t="s">
        <v>228</v>
      </c>
      <c r="J1" s="6" t="s">
        <v>229</v>
      </c>
      <c r="K1" s="6" t="s">
        <v>230</v>
      </c>
    </row>
    <row r="2" customFormat="false" ht="15" hidden="false" customHeight="false" outlineLevel="0" collapsed="false">
      <c r="A2" s="0" t="s">
        <v>231</v>
      </c>
      <c r="B2" s="0" t="s">
        <v>18</v>
      </c>
      <c r="C2" s="0" t="s">
        <v>232</v>
      </c>
      <c r="D2" s="0" t="s">
        <v>233</v>
      </c>
      <c r="E2" s="0" t="s">
        <v>234</v>
      </c>
      <c r="F2" s="0" t="s">
        <v>235</v>
      </c>
      <c r="G2" s="0" t="s">
        <v>236</v>
      </c>
      <c r="H2" s="0" t="s">
        <v>237</v>
      </c>
      <c r="I2" s="0" t="s">
        <v>238</v>
      </c>
      <c r="J2" s="0" t="s">
        <v>217</v>
      </c>
      <c r="K2" s="0" t="s">
        <v>239</v>
      </c>
    </row>
    <row r="3" customFormat="false" ht="15" hidden="false" customHeight="false" outlineLevel="0" collapsed="false">
      <c r="A3" s="0" t="s">
        <v>240</v>
      </c>
      <c r="B3" s="0" t="s">
        <v>30</v>
      </c>
      <c r="C3" s="0" t="s">
        <v>241</v>
      </c>
      <c r="D3" s="0" t="s">
        <v>242</v>
      </c>
      <c r="E3" s="0" t="s">
        <v>243</v>
      </c>
      <c r="F3" s="0" t="s">
        <v>244</v>
      </c>
      <c r="G3" s="0" t="s">
        <v>245</v>
      </c>
      <c r="H3" s="0" t="s">
        <v>246</v>
      </c>
      <c r="I3" s="0" t="s">
        <v>238</v>
      </c>
      <c r="J3" s="0" t="s">
        <v>217</v>
      </c>
      <c r="K3" s="0" t="s">
        <v>247</v>
      </c>
    </row>
    <row r="4" customFormat="false" ht="15" hidden="false" customHeight="false" outlineLevel="0" collapsed="false">
      <c r="A4" s="0" t="s">
        <v>248</v>
      </c>
      <c r="B4" s="0" t="s">
        <v>41</v>
      </c>
      <c r="C4" s="0" t="s">
        <v>249</v>
      </c>
      <c r="D4" s="0" t="s">
        <v>250</v>
      </c>
      <c r="E4" s="0" t="s">
        <v>251</v>
      </c>
      <c r="G4" s="0" t="s">
        <v>252</v>
      </c>
      <c r="H4" s="0" t="s">
        <v>253</v>
      </c>
      <c r="I4" s="0" t="s">
        <v>254</v>
      </c>
      <c r="J4" s="0" t="s">
        <v>47</v>
      </c>
      <c r="K4" s="0" t="s">
        <v>255</v>
      </c>
    </row>
    <row r="5" customFormat="false" ht="15" hidden="false" customHeight="false" outlineLevel="0" collapsed="false">
      <c r="A5" s="0" t="s">
        <v>256</v>
      </c>
      <c r="B5" s="0" t="s">
        <v>53</v>
      </c>
      <c r="C5" s="0" t="s">
        <v>257</v>
      </c>
      <c r="D5" s="0" t="s">
        <v>258</v>
      </c>
      <c r="E5" s="0" t="s">
        <v>259</v>
      </c>
      <c r="F5" s="0" t="s">
        <v>260</v>
      </c>
      <c r="G5" s="0" t="s">
        <v>261</v>
      </c>
      <c r="H5" s="0" t="s">
        <v>262</v>
      </c>
      <c r="I5" s="0" t="s">
        <v>238</v>
      </c>
      <c r="J5" s="0" t="s">
        <v>217</v>
      </c>
      <c r="K5" s="0" t="s">
        <v>263</v>
      </c>
    </row>
    <row r="6" customFormat="false" ht="15" hidden="false" customHeight="false" outlineLevel="0" collapsed="false">
      <c r="A6" s="0" t="s">
        <v>264</v>
      </c>
      <c r="B6" s="0" t="s">
        <v>65</v>
      </c>
      <c r="C6" s="0" t="s">
        <v>265</v>
      </c>
      <c r="D6" s="0" t="s">
        <v>266</v>
      </c>
      <c r="F6" s="0" t="s">
        <v>267</v>
      </c>
      <c r="G6" s="0" t="s">
        <v>268</v>
      </c>
      <c r="H6" s="0" t="s">
        <v>269</v>
      </c>
      <c r="I6" s="0" t="s">
        <v>238</v>
      </c>
      <c r="J6" s="0" t="s">
        <v>217</v>
      </c>
      <c r="K6" s="0" t="s">
        <v>270</v>
      </c>
    </row>
    <row r="7" customFormat="false" ht="15" hidden="false" customHeight="false" outlineLevel="0" collapsed="false">
      <c r="A7" s="0" t="s">
        <v>271</v>
      </c>
      <c r="B7" s="0" t="s">
        <v>77</v>
      </c>
      <c r="C7" s="0" t="s">
        <v>272</v>
      </c>
      <c r="D7" s="0" t="s">
        <v>273</v>
      </c>
      <c r="E7" s="0" t="s">
        <v>274</v>
      </c>
      <c r="G7" s="0" t="s">
        <v>236</v>
      </c>
      <c r="H7" s="0" t="s">
        <v>275</v>
      </c>
      <c r="I7" s="0" t="s">
        <v>238</v>
      </c>
      <c r="J7" s="0" t="s">
        <v>47</v>
      </c>
    </row>
    <row r="8" customFormat="false" ht="15" hidden="false" customHeight="false" outlineLevel="0" collapsed="false">
      <c r="A8" s="0" t="s">
        <v>276</v>
      </c>
      <c r="B8" s="0" t="s">
        <v>83</v>
      </c>
      <c r="C8" s="0" t="s">
        <v>277</v>
      </c>
      <c r="D8" s="0" t="s">
        <v>278</v>
      </c>
      <c r="E8" s="0" t="s">
        <v>279</v>
      </c>
      <c r="F8" s="0" t="s">
        <v>280</v>
      </c>
      <c r="G8" s="0" t="s">
        <v>245</v>
      </c>
      <c r="H8" s="0" t="s">
        <v>281</v>
      </c>
      <c r="I8" s="0" t="s">
        <v>238</v>
      </c>
      <c r="J8" s="0" t="s">
        <v>217</v>
      </c>
      <c r="K8" s="0" t="s">
        <v>282</v>
      </c>
    </row>
    <row r="9" customFormat="false" ht="15" hidden="false" customHeight="false" outlineLevel="0" collapsed="false">
      <c r="A9" s="0" t="s">
        <v>283</v>
      </c>
      <c r="B9" s="0" t="s">
        <v>94</v>
      </c>
      <c r="C9" s="0" t="s">
        <v>284</v>
      </c>
      <c r="D9" s="0" t="s">
        <v>285</v>
      </c>
      <c r="E9" s="0" t="s">
        <v>286</v>
      </c>
      <c r="F9" s="0" t="s">
        <v>287</v>
      </c>
      <c r="G9" s="0" t="s">
        <v>288</v>
      </c>
      <c r="H9" s="0" t="s">
        <v>289</v>
      </c>
      <c r="I9" s="0" t="s">
        <v>238</v>
      </c>
      <c r="J9" s="0" t="s">
        <v>217</v>
      </c>
      <c r="K9" s="0" t="s">
        <v>290</v>
      </c>
    </row>
    <row r="10" customFormat="false" ht="15" hidden="false" customHeight="false" outlineLevel="0" collapsed="false">
      <c r="A10" s="0" t="s">
        <v>291</v>
      </c>
      <c r="B10" s="0" t="s">
        <v>103</v>
      </c>
      <c r="C10" s="0" t="s">
        <v>292</v>
      </c>
      <c r="D10" s="0" t="s">
        <v>293</v>
      </c>
      <c r="E10" s="0" t="s">
        <v>294</v>
      </c>
      <c r="F10" s="0" t="s">
        <v>295</v>
      </c>
      <c r="G10" s="0" t="s">
        <v>252</v>
      </c>
      <c r="H10" s="0" t="s">
        <v>296</v>
      </c>
      <c r="I10" s="0" t="s">
        <v>238</v>
      </c>
      <c r="J10" s="0" t="s">
        <v>217</v>
      </c>
      <c r="K10" s="0" t="s">
        <v>297</v>
      </c>
    </row>
    <row r="11" customFormat="false" ht="15" hidden="false" customHeight="false" outlineLevel="0" collapsed="false">
      <c r="A11" s="0" t="s">
        <v>298</v>
      </c>
      <c r="B11" s="0" t="s">
        <v>113</v>
      </c>
      <c r="C11" s="0" t="s">
        <v>299</v>
      </c>
      <c r="D11" s="0" t="s">
        <v>300</v>
      </c>
      <c r="E11" s="0" t="s">
        <v>301</v>
      </c>
      <c r="G11" s="0" t="s">
        <v>236</v>
      </c>
      <c r="H11" s="0" t="s">
        <v>302</v>
      </c>
      <c r="I11" s="0" t="s">
        <v>303</v>
      </c>
      <c r="J11" s="0" t="s">
        <v>47</v>
      </c>
      <c r="K11" s="0" t="s">
        <v>304</v>
      </c>
    </row>
    <row r="12" customFormat="false" ht="15" hidden="false" customHeight="false" outlineLevel="0" collapsed="false">
      <c r="A12" s="0" t="s">
        <v>305</v>
      </c>
      <c r="B12" s="0" t="s">
        <v>121</v>
      </c>
      <c r="C12" s="0" t="s">
        <v>306</v>
      </c>
      <c r="D12" s="0" t="s">
        <v>307</v>
      </c>
      <c r="E12" s="0" t="s">
        <v>308</v>
      </c>
      <c r="F12" s="0" t="s">
        <v>309</v>
      </c>
      <c r="G12" s="0" t="s">
        <v>310</v>
      </c>
      <c r="H12" s="0" t="s">
        <v>311</v>
      </c>
      <c r="I12" s="0" t="s">
        <v>238</v>
      </c>
      <c r="J12" s="0" t="s">
        <v>217</v>
      </c>
      <c r="K12" s="0" t="s">
        <v>312</v>
      </c>
    </row>
    <row r="13" customFormat="false" ht="15" hidden="false" customHeight="false" outlineLevel="0" collapsed="false">
      <c r="A13" s="0" t="s">
        <v>313</v>
      </c>
      <c r="B13" s="0" t="s">
        <v>130</v>
      </c>
      <c r="C13" s="0" t="s">
        <v>314</v>
      </c>
      <c r="D13" s="0" t="s">
        <v>315</v>
      </c>
      <c r="E13" s="0" t="s">
        <v>316</v>
      </c>
      <c r="F13" s="0" t="s">
        <v>317</v>
      </c>
      <c r="G13" s="0" t="s">
        <v>245</v>
      </c>
      <c r="H13" s="0" t="s">
        <v>318</v>
      </c>
      <c r="I13" s="0" t="s">
        <v>238</v>
      </c>
      <c r="J13" s="0" t="s">
        <v>217</v>
      </c>
      <c r="K13" s="0" t="s">
        <v>319</v>
      </c>
    </row>
    <row r="14" customFormat="false" ht="15" hidden="false" customHeight="false" outlineLevel="0" collapsed="false">
      <c r="A14" s="0" t="s">
        <v>320</v>
      </c>
      <c r="B14" s="0" t="s">
        <v>137</v>
      </c>
      <c r="C14" s="0" t="s">
        <v>321</v>
      </c>
      <c r="D14" s="0" t="s">
        <v>322</v>
      </c>
      <c r="I14" s="0" t="s">
        <v>238</v>
      </c>
      <c r="J14" s="0" t="s">
        <v>47</v>
      </c>
      <c r="K14" s="0" t="s">
        <v>323</v>
      </c>
    </row>
    <row r="15" customFormat="false" ht="15" hidden="false" customHeight="false" outlineLevel="0" collapsed="false">
      <c r="A15" s="0" t="s">
        <v>324</v>
      </c>
      <c r="B15" s="0" t="s">
        <v>143</v>
      </c>
      <c r="C15" s="0" t="s">
        <v>325</v>
      </c>
      <c r="D15" s="0" t="s">
        <v>326</v>
      </c>
      <c r="E15" s="0" t="s">
        <v>327</v>
      </c>
      <c r="F15" s="0" t="s">
        <v>328</v>
      </c>
      <c r="G15" s="0" t="s">
        <v>329</v>
      </c>
      <c r="H15" s="0" t="s">
        <v>330</v>
      </c>
      <c r="I15" s="0" t="s">
        <v>238</v>
      </c>
      <c r="J15" s="0" t="s">
        <v>217</v>
      </c>
      <c r="K15" s="0" t="s">
        <v>331</v>
      </c>
    </row>
    <row r="16" customFormat="false" ht="15" hidden="false" customHeight="false" outlineLevel="0" collapsed="false">
      <c r="A16" s="0" t="s">
        <v>332</v>
      </c>
      <c r="B16" s="0" t="s">
        <v>150</v>
      </c>
      <c r="C16" s="0" t="s">
        <v>333</v>
      </c>
      <c r="D16" s="0" t="s">
        <v>334</v>
      </c>
      <c r="E16" s="0" t="s">
        <v>335</v>
      </c>
      <c r="F16" s="0" t="s">
        <v>336</v>
      </c>
      <c r="G16" s="0" t="s">
        <v>337</v>
      </c>
      <c r="H16" s="0" t="s">
        <v>338</v>
      </c>
      <c r="I16" s="0" t="s">
        <v>238</v>
      </c>
      <c r="J16" s="0" t="s">
        <v>217</v>
      </c>
      <c r="K16" s="0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7" t="s">
        <v>340</v>
      </c>
    </row>
    <row r="3" customFormat="false" ht="15" hidden="false" customHeight="false" outlineLevel="0" collapsed="false">
      <c r="A3" s="8" t="s">
        <v>341</v>
      </c>
      <c r="B3" s="8" t="s">
        <v>342</v>
      </c>
      <c r="C3" s="8" t="s">
        <v>343</v>
      </c>
      <c r="D3" s="8" t="s">
        <v>344</v>
      </c>
    </row>
    <row r="4" customFormat="false" ht="15" hidden="false" customHeight="false" outlineLevel="0" collapsed="false">
      <c r="A4" s="0" t="s">
        <v>22</v>
      </c>
      <c r="B4" s="0" t="n">
        <v>38800</v>
      </c>
      <c r="C4" s="0" t="n">
        <v>4</v>
      </c>
      <c r="D4" s="0" t="n">
        <f aca="false">B4/B15</f>
        <v>0.0469847420682974</v>
      </c>
    </row>
    <row r="5" customFormat="false" ht="15" hidden="false" customHeight="false" outlineLevel="0" collapsed="false">
      <c r="A5" s="0" t="s">
        <v>345</v>
      </c>
      <c r="B5" s="0" t="n">
        <v>21250</v>
      </c>
      <c r="C5" s="0" t="n">
        <v>2</v>
      </c>
      <c r="D5" s="0" t="n">
        <f aca="false">B5/B15</f>
        <v>0.0257326229111165</v>
      </c>
    </row>
    <row r="6" customFormat="false" ht="15" hidden="false" customHeight="false" outlineLevel="0" collapsed="false">
      <c r="A6" s="0" t="s">
        <v>45</v>
      </c>
      <c r="B6" s="0" t="n">
        <v>98000</v>
      </c>
      <c r="C6" s="0" t="n">
        <v>3</v>
      </c>
      <c r="D6" s="0" t="n">
        <f aca="false">B6/B15</f>
        <v>0.118672802131267</v>
      </c>
    </row>
    <row r="7" customFormat="false" ht="15" hidden="false" customHeight="false" outlineLevel="0" collapsed="false">
      <c r="A7" s="0" t="s">
        <v>57</v>
      </c>
      <c r="B7" s="0" t="n">
        <v>30000</v>
      </c>
      <c r="C7" s="0" t="n">
        <v>1</v>
      </c>
      <c r="D7" s="0" t="n">
        <f aca="false">B7/B15</f>
        <v>0.0363284088156939</v>
      </c>
    </row>
    <row r="8" customFormat="false" ht="15" hidden="false" customHeight="false" outlineLevel="0" collapsed="false">
      <c r="A8" s="0" t="s">
        <v>69</v>
      </c>
      <c r="B8" s="0" t="n">
        <v>52750</v>
      </c>
      <c r="C8" s="0" t="n">
        <v>2</v>
      </c>
      <c r="D8" s="0" t="n">
        <f aca="false">B8/B15</f>
        <v>0.0638774521675951</v>
      </c>
    </row>
    <row r="9" customFormat="false" ht="15" hidden="false" customHeight="false" outlineLevel="0" collapsed="false">
      <c r="A9" s="0" t="s">
        <v>86</v>
      </c>
      <c r="B9" s="0" t="n">
        <v>58000</v>
      </c>
      <c r="C9" s="0" t="n">
        <v>2</v>
      </c>
      <c r="D9" s="0" t="n">
        <f aca="false">B9/B15</f>
        <v>0.0702349237103415</v>
      </c>
    </row>
    <row r="10" customFormat="false" ht="15" hidden="false" customHeight="false" outlineLevel="0" collapsed="false">
      <c r="A10" s="0" t="s">
        <v>346</v>
      </c>
      <c r="B10" s="0" t="n">
        <v>234500</v>
      </c>
      <c r="C10" s="0" t="n">
        <v>3</v>
      </c>
      <c r="D10" s="0" t="n">
        <f aca="false">B10/B15</f>
        <v>0.283967062242674</v>
      </c>
    </row>
    <row r="11" customFormat="false" ht="15" hidden="false" customHeight="false" outlineLevel="0" collapsed="false">
      <c r="A11" s="0" t="s">
        <v>106</v>
      </c>
      <c r="B11" s="0" t="n">
        <v>263800</v>
      </c>
      <c r="C11" s="0" t="n">
        <v>6</v>
      </c>
      <c r="D11" s="0" t="n">
        <f aca="false">B11/B15</f>
        <v>0.319447808186001</v>
      </c>
    </row>
    <row r="12" customFormat="false" ht="15" hidden="false" customHeight="false" outlineLevel="0" collapsed="false">
      <c r="A12" s="0" t="s">
        <v>124</v>
      </c>
      <c r="B12" s="0" t="n">
        <v>9500</v>
      </c>
      <c r="C12" s="0" t="n">
        <v>1</v>
      </c>
      <c r="D12" s="0" t="n">
        <f aca="false">B12/B15</f>
        <v>0.0115039961249697</v>
      </c>
    </row>
    <row r="13" customFormat="false" ht="15" hidden="false" customHeight="false" outlineLevel="0" collapsed="false">
      <c r="A13" s="0" t="s">
        <v>173</v>
      </c>
      <c r="B13" s="0" t="n">
        <v>15000</v>
      </c>
      <c r="C13" s="0" t="n">
        <v>1</v>
      </c>
      <c r="D13" s="0" t="n">
        <f aca="false">B13/B15</f>
        <v>0.0181642044078469</v>
      </c>
    </row>
    <row r="14" customFormat="false" ht="15" hidden="false" customHeight="false" outlineLevel="0" collapsed="false">
      <c r="A14" s="0" t="s">
        <v>215</v>
      </c>
      <c r="B14" s="0" t="n">
        <v>4200</v>
      </c>
      <c r="C14" s="0" t="n">
        <v>1</v>
      </c>
      <c r="D14" s="0" t="n">
        <f aca="false">B14/B15</f>
        <v>0.00508597723419714</v>
      </c>
    </row>
    <row r="15" customFormat="false" ht="15" hidden="false" customHeight="false" outlineLevel="0" collapsed="false">
      <c r="A15" s="9" t="s">
        <v>347</v>
      </c>
      <c r="B15" s="9" t="n">
        <f aca="false">SUM(B4:B14)</f>
        <v>825800</v>
      </c>
      <c r="C15" s="9" t="n">
        <f aca="false">SUM(C4:C14)</f>
        <v>26</v>
      </c>
      <c r="D15" s="10" t="n">
        <f aca="false">SUM(D4:D14)</f>
        <v>1</v>
      </c>
    </row>
    <row r="17" customFormat="false" ht="15" hidden="false" customHeight="false" outlineLevel="0" collapsed="false">
      <c r="A17" s="11" t="s">
        <v>348</v>
      </c>
    </row>
    <row r="18" customFormat="false" ht="15" hidden="false" customHeight="false" outlineLevel="0" collapsed="false">
      <c r="A18" s="11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2026-06-04T06:49:10Z</dcterms:created>
  <dc:creator>openpyxl</dc:creator>
  <dc:description/>
  <dc:language>en-US</dc:language>
  <cp:lastModifiedBy/>
  <dcterms:modified xsi:type="dcterms:W3CDTF">2026-06-04T06:49:10Z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