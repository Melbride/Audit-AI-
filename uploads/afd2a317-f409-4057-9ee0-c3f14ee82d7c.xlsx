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R - Dec 2023" sheetId="1" state="visible" r:id="rId3"/>
    <sheet name="Depr Schedule" sheetId="2" state="visible" r:id="rId4"/>
    <sheet name="Physical Verific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<sst xmlns="http://schemas.openxmlformats.org/spreadsheetml/2006/main" count="495" uniqueCount="252">
  <si>
    <t xml:space="preserve">Asset Code</t>
  </si>
  <si>
    <t xml:space="preserve">Asset Code (2)</t>
  </si>
  <si>
    <t xml:space="preserve">Asset Description</t>
  </si>
  <si>
    <t xml:space="preserve">Asset Description (detail)</t>
  </si>
  <si>
    <t xml:space="preserve">Category</t>
  </si>
  <si>
    <t xml:space="preserve">Sub-Category</t>
  </si>
  <si>
    <t xml:space="preserve">Location</t>
  </si>
  <si>
    <t xml:space="preserve">Purchase Date</t>
  </si>
  <si>
    <t xml:space="preserve">DATE ACQUIRED</t>
  </si>
  <si>
    <t xml:space="preserve">Cost (KES)</t>
  </si>
  <si>
    <t xml:space="preserve">COST (original)</t>
  </si>
  <si>
    <t xml:space="preserve">Useful Life (Yrs)</t>
  </si>
  <si>
    <t xml:space="preserve">Depreciation Method</t>
  </si>
  <si>
    <t xml:space="preserve">Depr. Rate %</t>
  </si>
  <si>
    <t xml:space="preserve">Accum. Depreciation</t>
  </si>
  <si>
    <t xml:space="preserve">ACCUM DEPR (check)</t>
  </si>
  <si>
    <t xml:space="preserve">Net Book Value</t>
  </si>
  <si>
    <t xml:space="preserve">NBV (check)</t>
  </si>
  <si>
    <t xml:space="preserve">Disposal Date</t>
  </si>
  <si>
    <t xml:space="preserve">Disposal Proceeds</t>
  </si>
  <si>
    <t xml:space="preserve">Disposal Reason</t>
  </si>
  <si>
    <t xml:space="preserve">Condition</t>
  </si>
  <si>
    <t xml:space="preserve">Insurance Value</t>
  </si>
  <si>
    <t xml:space="preserve">Last Verified</t>
  </si>
  <si>
    <t xml:space="preserve">REMARKS</t>
  </si>
  <si>
    <t xml:space="preserve">FA-001</t>
  </si>
  <si>
    <t xml:space="preserve">Office Building - HQ</t>
  </si>
  <si>
    <t xml:space="preserve">Main HQ Building, Nairobi CBD</t>
  </si>
  <si>
    <t xml:space="preserve">Land &amp; Buildings</t>
  </si>
  <si>
    <t xml:space="preserve">Buildings</t>
  </si>
  <si>
    <t xml:space="preserve">Nairobi HQ</t>
  </si>
  <si>
    <t xml:space="preserve">01/01/2010</t>
  </si>
  <si>
    <t xml:space="preserve">2010-01-01</t>
  </si>
  <si>
    <t xml:space="preserve">Straight Line</t>
  </si>
  <si>
    <t xml:space="preserve">2.5%</t>
  </si>
  <si>
    <t xml:space="preserve">Good</t>
  </si>
  <si>
    <t xml:space="preserve">31/12/2023</t>
  </si>
  <si>
    <t xml:space="preserve">FA-002</t>
  </si>
  <si>
    <t xml:space="preserve">Toyota Land Cruiser</t>
  </si>
  <si>
    <t xml:space="preserve">LC200 - White - KBZ 001A</t>
  </si>
  <si>
    <t xml:space="preserve">Motor Vehicles</t>
  </si>
  <si>
    <t xml:space="preserve">4WD</t>
  </si>
  <si>
    <t xml:space="preserve">Pool</t>
  </si>
  <si>
    <t xml:space="preserve">15/03/2018</t>
  </si>
  <si>
    <t xml:space="preserve">March 2018</t>
  </si>
  <si>
    <t xml:space="preserve">Reducing Bal</t>
  </si>
  <si>
    <t xml:space="preserve">25%</t>
  </si>
  <si>
    <t xml:space="preserve">Poor</t>
  </si>
  <si>
    <t xml:space="preserve">cost mismatch col J vs K — fully depreciated but still in use</t>
  </si>
  <si>
    <t xml:space="preserve">FA-003</t>
  </si>
  <si>
    <t xml:space="preserve">Server Rack - Main</t>
  </si>
  <si>
    <t xml:space="preserve">Dell PowerEdge R740 x3</t>
  </si>
  <si>
    <t xml:space="preserve">IT Equipment</t>
  </si>
  <si>
    <t xml:space="preserve">Servers</t>
  </si>
  <si>
    <t xml:space="preserve">Server Room</t>
  </si>
  <si>
    <t xml:space="preserve">10/06/2019</t>
  </si>
  <si>
    <t xml:space="preserve">10-Jun-19</t>
  </si>
  <si>
    <t xml:space="preserve">33%</t>
  </si>
  <si>
    <t xml:space="preserve">ACCUM DEPR &gt; COST — over-depreciated</t>
  </si>
  <si>
    <t xml:space="preserve">FA-004</t>
  </si>
  <si>
    <t xml:space="preserve">Office Furniture Set A</t>
  </si>
  <si>
    <t xml:space="preserve">Boardroom — 12-seater table+chairs</t>
  </si>
  <si>
    <t xml:space="preserve">Furniture &amp; Fittings</t>
  </si>
  <si>
    <t xml:space="preserve">Boardroom</t>
  </si>
  <si>
    <t xml:space="preserve">20/08/2017</t>
  </si>
  <si>
    <t xml:space="preserve">Aug 20 2017</t>
  </si>
  <si>
    <t xml:space="preserve">10%</t>
  </si>
  <si>
    <t xml:space="preserve">NBV col Q vs col R disagree — which is correct?</t>
  </si>
  <si>
    <t xml:space="preserve">FA-005</t>
  </si>
  <si>
    <t xml:space="preserve">Photocopier - Xerox</t>
  </si>
  <si>
    <t xml:space="preserve">Xerox WorkCentre 7845</t>
  </si>
  <si>
    <t xml:space="preserve">Office Equipment</t>
  </si>
  <si>
    <t xml:space="preserve">Copiers</t>
  </si>
  <si>
    <t xml:space="preserve">Admin Office</t>
  </si>
  <si>
    <t xml:space="preserve">05/05/2016</t>
  </si>
  <si>
    <t xml:space="preserve">May 5, 2016</t>
  </si>
  <si>
    <t xml:space="preserve">20%</t>
  </si>
  <si>
    <t xml:space="preserve">30/06/2023</t>
  </si>
  <si>
    <t xml:space="preserve">Disposed</t>
  </si>
  <si>
    <t xml:space="preserve">DISPOSED — no proceeds or reason recorded</t>
  </si>
  <si>
    <t xml:space="preserve">FA-006</t>
  </si>
  <si>
    <t xml:space="preserve">Air Conditioner Unit x4</t>
  </si>
  <si>
    <t xml:space="preserve">Daikin Split Units — 2.5HP each</t>
  </si>
  <si>
    <t xml:space="preserve">Plant &amp; Machinery</t>
  </si>
  <si>
    <t xml:space="preserve">HVAC</t>
  </si>
  <si>
    <t xml:space="preserve">15/01/2025</t>
  </si>
  <si>
    <t xml:space="preserve">15-Jan-2025</t>
  </si>
  <si>
    <t xml:space="preserve">New</t>
  </si>
  <si>
    <t xml:space="preserve">PURCHASE DATE IN FUTURE</t>
  </si>
  <si>
    <t xml:space="preserve">FA-007</t>
  </si>
  <si>
    <t xml:space="preserve">Laptop - HP EliteBook</t>
  </si>
  <si>
    <t xml:space="preserve">HP EliteBook 840 G9 — SN: XJ991</t>
  </si>
  <si>
    <t xml:space="preserve">Laptops</t>
  </si>
  <si>
    <t xml:space="preserve">Finance Dept</t>
  </si>
  <si>
    <t xml:space="preserve">11/09/2022</t>
  </si>
  <si>
    <t xml:space="preserve">Sep 11 2022</t>
  </si>
  <si>
    <t xml:space="preserve">ERR:DIV0</t>
  </si>
  <si>
    <t xml:space="preserve">USEFUL LIFE = 0 — rate error</t>
  </si>
  <si>
    <t xml:space="preserve">FA-008</t>
  </si>
  <si>
    <t xml:space="preserve">FA-088</t>
  </si>
  <si>
    <t xml:space="preserve">Generator — Perkins</t>
  </si>
  <si>
    <t xml:space="preserve">Perkins 100kVA Diesel Generator</t>
  </si>
  <si>
    <t xml:space="preserve">Generators</t>
  </si>
  <si>
    <t xml:space="preserve">22/04/2015</t>
  </si>
  <si>
    <t xml:space="preserve">April 2015</t>
  </si>
  <si>
    <t xml:space="preserve">6.7%</t>
  </si>
  <si>
    <t xml:space="preserve">Fair</t>
  </si>
  <si>
    <t xml:space="preserve">asset code col A vs B mismatch</t>
  </si>
  <si>
    <t xml:space="preserve">FA-009</t>
  </si>
  <si>
    <t xml:space="preserve">Saloon Car - Honda Fit</t>
  </si>
  <si>
    <t xml:space="preserve">Honda Fit 2016 — KCG 456B</t>
  </si>
  <si>
    <t xml:space="preserve">Saloon</t>
  </si>
  <si>
    <t xml:space="preserve">03/02/2016</t>
  </si>
  <si>
    <t xml:space="preserve">Feb 3 2016</t>
  </si>
  <si>
    <t xml:space="preserve">31/03/2022</t>
  </si>
  <si>
    <t xml:space="preserve">Sold</t>
  </si>
  <si>
    <t xml:space="preserve">DISPOSED 2022 but NBV still 450,000 on register</t>
  </si>
  <si>
    <t xml:space="preserve">FA-010</t>
  </si>
  <si>
    <t xml:space="preserve">Office Partition System</t>
  </si>
  <si>
    <t xml:space="preserve">Glass partitions — floor 2</t>
  </si>
  <si>
    <t xml:space="preserve">Partitions</t>
  </si>
  <si>
    <t xml:space="preserve">14/11/2020</t>
  </si>
  <si>
    <t xml:space="preserve">Nov 14 2020</t>
  </si>
  <si>
    <t xml:space="preserve">COST = 0 — donated? asset not valued</t>
  </si>
  <si>
    <t xml:space="preserve">FA-011</t>
  </si>
  <si>
    <t xml:space="preserve">Conference Room Projector</t>
  </si>
  <si>
    <t xml:space="preserve">Epson EB-L400U Laser Projector</t>
  </si>
  <si>
    <t xml:space="preserve">AV Equipment</t>
  </si>
  <si>
    <t xml:space="preserve">30/06/2021</t>
  </si>
  <si>
    <t xml:space="preserve">June 30 2021</t>
  </si>
  <si>
    <t xml:space="preserve">FA-012</t>
  </si>
  <si>
    <t xml:space="preserve">Projector - Boardroom</t>
  </si>
  <si>
    <t xml:space="preserve">Laser Projector — Boardroom Epson</t>
  </si>
  <si>
    <t xml:space="preserve">30-Jun-2021</t>
  </si>
  <si>
    <t xml:space="preserve">POSSIBLE DUPLICATE of FA-011</t>
  </si>
  <si>
    <t xml:space="preserve">FA-013</t>
  </si>
  <si>
    <t xml:space="preserve">Laptop - Dell Latitude</t>
  </si>
  <si>
    <t xml:space="preserve">Dell Latitude 5540 — SN: DL8823</t>
  </si>
  <si>
    <t xml:space="preserve">IT Dept</t>
  </si>
  <si>
    <t xml:space="preserve">15/02/2023</t>
  </si>
  <si>
    <t xml:space="preserve">Feb 15 2023</t>
  </si>
  <si>
    <t xml:space="preserve">method differs from FA-007 same category</t>
  </si>
  <si>
    <t xml:space="preserve">FA-014</t>
  </si>
  <si>
    <t xml:space="preserve">CCTV System</t>
  </si>
  <si>
    <t xml:space="preserve">Hikvision 32-camera system</t>
  </si>
  <si>
    <t xml:space="preserve">Security</t>
  </si>
  <si>
    <t xml:space="preserve">All Floors</t>
  </si>
  <si>
    <t xml:space="preserve">08/08/2020</t>
  </si>
  <si>
    <t xml:space="preserve">Aug 8, 2020</t>
  </si>
  <si>
    <t xml:space="preserve">INSURANCE &gt; COST x3 — inflated?</t>
  </si>
  <si>
    <t xml:space="preserve">FA-015</t>
  </si>
  <si>
    <t xml:space="preserve">Land - Mombasa Plot</t>
  </si>
  <si>
    <t xml:space="preserve">Plot No. 44/III/MN — Mombasa</t>
  </si>
  <si>
    <t xml:space="preserve">Land</t>
  </si>
  <si>
    <t xml:space="preserve">Mombasa</t>
  </si>
  <si>
    <t xml:space="preserve">2008</t>
  </si>
  <si>
    <t xml:space="preserve">N/A</t>
  </si>
  <si>
    <t xml:space="preserve">0%</t>
  </si>
  <si>
    <t xml:space="preserve">Unknown</t>
  </si>
  <si>
    <t xml:space="preserve">NEVER VERIFIED — no last verified date. Land not depreciated (correct) but condition unknown</t>
  </si>
  <si>
    <t xml:space="preserve">FA-016</t>
  </si>
  <si>
    <t xml:space="preserve">Borehole &amp; Water System</t>
  </si>
  <si>
    <t xml:space="preserve">Borehole 120m + pump + tank</t>
  </si>
  <si>
    <t xml:space="preserve">Utilities</t>
  </si>
  <si>
    <t xml:space="preserve">17/05/2019</t>
  </si>
  <si>
    <t xml:space="preserve">17-May-2019</t>
  </si>
  <si>
    <t xml:space="preserve">5%</t>
  </si>
  <si>
    <t xml:space="preserve">cost and accum depr vary by 300k between columns — capitalisation dispute</t>
  </si>
  <si>
    <t xml:space="preserve">FA-017</t>
  </si>
  <si>
    <t xml:space="preserve">UPS System - Server Room</t>
  </si>
  <si>
    <t xml:space="preserve">APC Smart-UPS 3000VA x2</t>
  </si>
  <si>
    <t xml:space="preserve">UPS</t>
  </si>
  <si>
    <t xml:space="preserve">01/12/2021</t>
  </si>
  <si>
    <t xml:space="preserve">Dec 1 2021</t>
  </si>
  <si>
    <t xml:space="preserve">fully depreciated in 2 years — useful life was 5yrs. Error?</t>
  </si>
  <si>
    <t xml:space="preserve">FA-018</t>
  </si>
  <si>
    <t xml:space="preserve">Pickup Truck - Isuzu</t>
  </si>
  <si>
    <t xml:space="preserve">Isuzu D-Max 2017 — KDA 321C</t>
  </si>
  <si>
    <t xml:space="preserve">Pickup</t>
  </si>
  <si>
    <t xml:space="preserve">10/10/2017</t>
  </si>
  <si>
    <t xml:space="preserve">Oct 10 2017</t>
  </si>
  <si>
    <t xml:space="preserve">30/09/2023</t>
  </si>
  <si>
    <t xml:space="preserve">DISPOSAL PROCEEDS (4.2M) &gt; ORIGINAL COST (3.8M) — gain not recognised?</t>
  </si>
  <si>
    <t xml:space="preserve">FA-019</t>
  </si>
  <si>
    <t xml:space="preserve">Reception Desk &amp; Chairs</t>
  </si>
  <si>
    <t xml:space="preserve">Custom reception unit + 6 chairs</t>
  </si>
  <si>
    <t xml:space="preserve">Reception</t>
  </si>
  <si>
    <t xml:space="preserve">14/04/2018</t>
  </si>
  <si>
    <t xml:space="preserve">April 14 2018</t>
  </si>
  <si>
    <t xml:space="preserve">NEGATIVE NBV — accumulated depreciation exceeds cost</t>
  </si>
  <si>
    <t xml:space="preserve">FA-020</t>
  </si>
  <si>
    <t xml:space="preserve">Fire Suppression System</t>
  </si>
  <si>
    <t xml:space="preserve">Kidde FM-200 system — server rm</t>
  </si>
  <si>
    <t xml:space="preserve">Safety</t>
  </si>
  <si>
    <t xml:space="preserve">22/09/2021</t>
  </si>
  <si>
    <t xml:space="preserve">22-Sep-2021</t>
  </si>
  <si>
    <t xml:space="preserve">DEPRECIATION SCHEDULE — FY 2023</t>
  </si>
  <si>
    <t xml:space="preserve">Description</t>
  </si>
  <si>
    <t xml:space="preserve">Opening Accum Depr</t>
  </si>
  <si>
    <t xml:space="preserve">Charge for Year</t>
  </si>
  <si>
    <t xml:space="preserve">Closing Accum Depr</t>
  </si>
  <si>
    <t xml:space="preserve">NBV (Closing)</t>
  </si>
  <si>
    <t xml:space="preserve">Notes</t>
  </si>
  <si>
    <t xml:space="preserve">fully depreciated — still in use</t>
  </si>
  <si>
    <t xml:space="preserve">ERROR: closing &gt; opening with 0 charge</t>
  </si>
  <si>
    <t xml:space="preserve">useful life=0 — no depreciation charged</t>
  </si>
  <si>
    <t xml:space="preserve">POSSIBLE DUPLICATE of FA-011 — double charging</t>
  </si>
  <si>
    <t xml:space="preserve">reducing balance — inconsistent with FA-007</t>
  </si>
  <si>
    <t xml:space="preserve">land — no depreciation (correct)</t>
  </si>
  <si>
    <t xml:space="preserve">Reception Desk</t>
  </si>
  <si>
    <t xml:space="preserve">NEGATIVE NBV — over-depreciated</t>
  </si>
  <si>
    <t xml:space="preserve">TOTAL</t>
  </si>
  <si>
    <t xml:space="preserve">⚠  Schedule is INCOMPLETE — only 10 of 20 assets shown. Full schedule not provided.</t>
  </si>
  <si>
    <t xml:space="preserve">⚠  FA-012 appears to duplicate FA-011 — depreciation charge may be double-counted.</t>
  </si>
  <si>
    <t xml:space="preserve">PHYSICAL ASSET VERIFICATION — December 2023</t>
  </si>
  <si>
    <t xml:space="preserve">Register Location</t>
  </si>
  <si>
    <t xml:space="preserve">Physical Location</t>
  </si>
  <si>
    <t xml:space="preserve">Verified?</t>
  </si>
  <si>
    <t xml:space="preserve">Verified By</t>
  </si>
  <si>
    <t xml:space="preserve">Date Verified</t>
  </si>
  <si>
    <t xml:space="preserve">Condition Found</t>
  </si>
  <si>
    <t xml:space="preserve">Discrepancy Notes</t>
  </si>
  <si>
    <t xml:space="preserve">Office Building</t>
  </si>
  <si>
    <t xml:space="preserve">Yes</t>
  </si>
  <si>
    <t xml:space="preserve">B. Kamau</t>
  </si>
  <si>
    <t xml:space="preserve">Fully depreciated — still operational. NBV=0 but in daily use.</t>
  </si>
  <si>
    <t xml:space="preserve">K. Onyango</t>
  </si>
  <si>
    <t xml:space="preserve">Accumul. depr exceeds cost. Raise with finance.</t>
  </si>
  <si>
    <t xml:space="preserve">NOT FOUND</t>
  </si>
  <si>
    <t xml:space="preserve">No</t>
  </si>
  <si>
    <t xml:space="preserve">Disposed?</t>
  </si>
  <si>
    <t xml:space="preserve">Disposed Jun 2023 per register — physically absent. Removal not documented.</t>
  </si>
  <si>
    <t xml:space="preserve">PURCHASE DATE JAN 2025 — already installed and in use as at Dec 2023. Date error.</t>
  </si>
  <si>
    <t xml:space="preserve">J. Mwangi</t>
  </si>
  <si>
    <t xml:space="preserve">Useful life = 0 flagged to IT. No depreciation charged.</t>
  </si>
  <si>
    <t xml:space="preserve">Generator - Perkins</t>
  </si>
  <si>
    <t xml:space="preserve">Honda Fit</t>
  </si>
  <si>
    <t xml:space="preserve">NOT ON SITE</t>
  </si>
  <si>
    <t xml:space="preserve">Disposed Mar 2022 but NBV 450,000 still on register. Write-off not processed.</t>
  </si>
  <si>
    <t xml:space="preserve">Cost = 0 in register. Asset clearly exists. Was it donated or internally built?</t>
  </si>
  <si>
    <t xml:space="preserve">ONE projector physically present. FA-012 may be duplicate record.</t>
  </si>
  <si>
    <t xml:space="preserve">SAME PHYSICAL ASSET as FA-011. Duplicate entry in register.</t>
  </si>
  <si>
    <t xml:space="preserve">NOT VERIFIED</t>
  </si>
  <si>
    <t xml:space="preserve">No one visited Mombasa site. Title deed not sighted. Last verified: NEVER.</t>
  </si>
  <si>
    <t xml:space="preserve">Sold Sep 2023 — proceeds 4.2M recorded, original cost 3.8M. Gain not in P&amp;L.</t>
  </si>
  <si>
    <t xml:space="preserve">Physical condition good but NBV is negative. Depreciation rate needs correction.</t>
  </si>
  <si>
    <t xml:space="preserve">Treadmill — Staff Gym</t>
  </si>
  <si>
    <t xml:space="preserve">NOT ON REGISTER</t>
  </si>
  <si>
    <t xml:space="preserve">Staff Gym</t>
  </si>
  <si>
    <t xml:space="preserve">UNREGISTERED ASSET — found during verification. Not on FAR. Est. value ~KES 180,000.</t>
  </si>
  <si>
    <t xml:space="preserve">⚠  5 assets not physically verified (Mombasa site, 2 disposals, 2 not found).</t>
  </si>
  <si>
    <t xml:space="preserve">⚠  1 unregistered asset found on site — not in FAR.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</si>
</sst>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libri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FF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D7D7"/>
      </patternFill>
    </fill>
    <fill>
      <patternFill patternType="solid">
        <fgColor rgb="FFFFFF00"/>
        <bgColor rgb="FFFFFF00"/>
      </patternFill>
    </fill>
    <fill>
      <patternFill patternType="solid">
        <fgColor rgb="FFFFD7D7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11" min="7" style="1" width="13"/>
    <col collapsed="false" customWidth="true" hidden="false" outlineLevel="0" max="12" min="12" style="1" width="11"/>
    <col collapsed="false" customWidth="true" hidden="false" outlineLevel="0" max="13" min="13" style="1" width="15"/>
    <col collapsed="false" customWidth="true" hidden="false" outlineLevel="0" max="14" min="14" style="1" width="10"/>
    <col collapsed="false" customWidth="true" hidden="false" outlineLevel="0" max="16" min="15" style="1" width="16"/>
    <col collapsed="false" customWidth="true" hidden="false" outlineLevel="0" max="17" min="17" style="1" width="14"/>
    <col collapsed="false" customWidth="true" hidden="false" outlineLevel="0" max="18" min="18" style="1" width="12"/>
    <col collapsed="false" customWidth="true" hidden="false" outlineLevel="0" max="19" min="19" style="1" width="13"/>
    <col collapsed="false" customWidth="true" hidden="false" outlineLevel="0" max="21" min="20" style="1" width="16"/>
    <col collapsed="false" customWidth="true" hidden="false" outlineLevel="0" max="22" min="22" style="1" width="10"/>
    <col collapsed="false" customWidth="true" hidden="false" outlineLevel="0" max="23" min="23" style="1" width="14"/>
    <col collapsed="false" customWidth="true" hidden="false" outlineLevel="0" max="24" min="24" style="1" width="13"/>
    <col collapsed="false" customWidth="true" hidden="false" outlineLevel="0" max="25" min="25" style="1" width="26"/>
  </cols>
  <sheetData>
    <row r="1" customFormat="false" ht="36" hidden="false" customHeight="tru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</row>
    <row r="2" customFormat="false" ht="15" hidden="false" customHeight="true" outlineLevel="0" collapsed="false">
      <c r="A2" s="1" t="s">
        <v>25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45000000</v>
      </c>
      <c r="K2" s="1" t="n">
        <v>45000000</v>
      </c>
      <c r="L2" s="1" t="n">
        <v>40</v>
      </c>
      <c r="M2" s="1" t="s">
        <v>33</v>
      </c>
      <c r="N2" s="1" t="s">
        <v>34</v>
      </c>
      <c r="O2" s="1" t="n">
        <v>12375000</v>
      </c>
      <c r="P2" s="1" t="n">
        <v>12375000</v>
      </c>
      <c r="Q2" s="1" t="n">
        <v>32625000</v>
      </c>
      <c r="R2" s="1" t="n">
        <v>32625000</v>
      </c>
      <c r="V2" s="1" t="s">
        <v>35</v>
      </c>
      <c r="W2" s="1" t="n">
        <v>50000000</v>
      </c>
      <c r="X2" s="1" t="s">
        <v>36</v>
      </c>
    </row>
    <row r="3" customFormat="false" ht="15" hidden="false" customHeight="true" outlineLevel="0" collapsed="false">
      <c r="A3" s="4" t="s">
        <v>37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n">
        <v>9500000</v>
      </c>
      <c r="K3" s="4" t="n">
        <v>8800000</v>
      </c>
      <c r="L3" s="4" t="n">
        <v>5</v>
      </c>
      <c r="M3" s="4" t="s">
        <v>45</v>
      </c>
      <c r="N3" s="4" t="s">
        <v>46</v>
      </c>
      <c r="O3" s="4" t="n">
        <v>9500000</v>
      </c>
      <c r="P3" s="4" t="n">
        <v>9500000</v>
      </c>
      <c r="Q3" s="4" t="n">
        <v>0</v>
      </c>
      <c r="R3" s="4" t="n">
        <v>0</v>
      </c>
      <c r="S3" s="4"/>
      <c r="T3" s="4"/>
      <c r="U3" s="4"/>
      <c r="V3" s="4" t="s">
        <v>47</v>
      </c>
      <c r="W3" s="4" t="n">
        <v>6000000</v>
      </c>
      <c r="X3" s="4" t="s">
        <v>36</v>
      </c>
      <c r="Y3" s="4" t="s">
        <v>48</v>
      </c>
    </row>
    <row r="4" customFormat="false" ht="15" hidden="false" customHeight="true" outlineLevel="0" collapsed="false">
      <c r="A4" s="5" t="s">
        <v>49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56</v>
      </c>
      <c r="J4" s="5" t="n">
        <v>1800000</v>
      </c>
      <c r="K4" s="5" t="n">
        <v>1800000</v>
      </c>
      <c r="L4" s="5" t="n">
        <v>3</v>
      </c>
      <c r="M4" s="5" t="s">
        <v>33</v>
      </c>
      <c r="N4" s="5" t="s">
        <v>57</v>
      </c>
      <c r="O4" s="5" t="n">
        <v>2100000</v>
      </c>
      <c r="P4" s="5" t="n">
        <v>2100000</v>
      </c>
      <c r="Q4" s="5" t="n">
        <v>0</v>
      </c>
      <c r="R4" s="5" t="n">
        <v>0</v>
      </c>
      <c r="S4" s="5"/>
      <c r="T4" s="5"/>
      <c r="U4" s="5"/>
      <c r="V4" s="5" t="s">
        <v>35</v>
      </c>
      <c r="W4" s="5" t="n">
        <v>500000</v>
      </c>
      <c r="X4" s="5" t="s">
        <v>36</v>
      </c>
      <c r="Y4" s="5" t="s">
        <v>58</v>
      </c>
    </row>
    <row r="5" customFormat="false" ht="15" hidden="false" customHeight="true" outlineLevel="0" collapsed="false">
      <c r="A5" s="6" t="s">
        <v>59</v>
      </c>
      <c r="B5" s="6" t="s">
        <v>59</v>
      </c>
      <c r="C5" s="6" t="s">
        <v>60</v>
      </c>
      <c r="D5" s="6" t="s">
        <v>61</v>
      </c>
      <c r="E5" s="6" t="s">
        <v>62</v>
      </c>
      <c r="F5" s="6" t="s">
        <v>63</v>
      </c>
      <c r="G5" s="6" t="s">
        <v>30</v>
      </c>
      <c r="H5" s="6" t="s">
        <v>64</v>
      </c>
      <c r="I5" s="6" t="s">
        <v>65</v>
      </c>
      <c r="J5" s="6" t="n">
        <v>850000</v>
      </c>
      <c r="K5" s="6" t="n">
        <v>850000</v>
      </c>
      <c r="L5" s="6" t="n">
        <v>10</v>
      </c>
      <c r="M5" s="6" t="s">
        <v>33</v>
      </c>
      <c r="N5" s="6" t="s">
        <v>66</v>
      </c>
      <c r="O5" s="6" t="n">
        <v>510000</v>
      </c>
      <c r="P5" s="6" t="n">
        <v>510000</v>
      </c>
      <c r="Q5" s="6" t="n">
        <v>999999</v>
      </c>
      <c r="R5" s="6" t="n">
        <v>340000</v>
      </c>
      <c r="S5" s="6"/>
      <c r="T5" s="6"/>
      <c r="U5" s="6"/>
      <c r="V5" s="6" t="s">
        <v>35</v>
      </c>
      <c r="W5" s="6" t="n">
        <v>400000</v>
      </c>
      <c r="X5" s="6" t="s">
        <v>36</v>
      </c>
      <c r="Y5" s="6" t="s">
        <v>67</v>
      </c>
    </row>
    <row r="6" customFormat="false" ht="15" hidden="false" customHeight="true" outlineLevel="0" collapsed="false">
      <c r="A6" s="5" t="s">
        <v>68</v>
      </c>
      <c r="B6" s="5" t="s">
        <v>68</v>
      </c>
      <c r="C6" s="5" t="s">
        <v>69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74</v>
      </c>
      <c r="I6" s="5" t="s">
        <v>75</v>
      </c>
      <c r="J6" s="5" t="n">
        <v>380000</v>
      </c>
      <c r="K6" s="5" t="n">
        <v>380000</v>
      </c>
      <c r="L6" s="5" t="n">
        <v>5</v>
      </c>
      <c r="M6" s="5" t="s">
        <v>33</v>
      </c>
      <c r="N6" s="5" t="s">
        <v>76</v>
      </c>
      <c r="O6" s="5" t="n">
        <v>380000</v>
      </c>
      <c r="P6" s="5" t="n">
        <v>380000</v>
      </c>
      <c r="Q6" s="5" t="n">
        <v>0</v>
      </c>
      <c r="R6" s="5" t="n">
        <v>0</v>
      </c>
      <c r="S6" s="5" t="s">
        <v>77</v>
      </c>
      <c r="T6" s="5"/>
      <c r="U6" s="5"/>
      <c r="V6" s="5" t="s">
        <v>78</v>
      </c>
      <c r="W6" s="5" t="n">
        <v>0</v>
      </c>
      <c r="X6" s="5" t="s">
        <v>36</v>
      </c>
      <c r="Y6" s="5" t="s">
        <v>79</v>
      </c>
    </row>
    <row r="7" customFormat="false" ht="15" hidden="false" customHeight="true" outlineLevel="0" collapsed="false">
      <c r="A7" s="4" t="s">
        <v>80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84</v>
      </c>
      <c r="G7" s="4" t="s">
        <v>30</v>
      </c>
      <c r="H7" s="4" t="s">
        <v>85</v>
      </c>
      <c r="I7" s="4" t="s">
        <v>86</v>
      </c>
      <c r="J7" s="4" t="n">
        <v>560000</v>
      </c>
      <c r="K7" s="4" t="n">
        <v>560000</v>
      </c>
      <c r="L7" s="4" t="n">
        <v>10</v>
      </c>
      <c r="M7" s="4" t="s">
        <v>33</v>
      </c>
      <c r="N7" s="4" t="s">
        <v>66</v>
      </c>
      <c r="O7" s="4" t="n">
        <v>0</v>
      </c>
      <c r="P7" s="4" t="n">
        <v>0</v>
      </c>
      <c r="Q7" s="4" t="n">
        <v>560000</v>
      </c>
      <c r="R7" s="4" t="n">
        <v>560000</v>
      </c>
      <c r="S7" s="4"/>
      <c r="T7" s="4"/>
      <c r="U7" s="4"/>
      <c r="V7" s="4" t="s">
        <v>87</v>
      </c>
      <c r="W7" s="4" t="n">
        <v>560000</v>
      </c>
      <c r="X7" s="4"/>
      <c r="Y7" s="4" t="s">
        <v>88</v>
      </c>
    </row>
    <row r="8" customFormat="false" ht="15" hidden="false" customHeight="true" outlineLevel="0" collapsed="false">
      <c r="A8" s="5" t="s">
        <v>89</v>
      </c>
      <c r="B8" s="5" t="s">
        <v>89</v>
      </c>
      <c r="C8" s="5" t="s">
        <v>90</v>
      </c>
      <c r="D8" s="5" t="s">
        <v>91</v>
      </c>
      <c r="E8" s="5" t="s">
        <v>52</v>
      </c>
      <c r="F8" s="5" t="s">
        <v>92</v>
      </c>
      <c r="G8" s="5" t="s">
        <v>93</v>
      </c>
      <c r="H8" s="5" t="s">
        <v>94</v>
      </c>
      <c r="I8" s="5" t="s">
        <v>95</v>
      </c>
      <c r="J8" s="5" t="n">
        <v>185000</v>
      </c>
      <c r="K8" s="5" t="n">
        <v>185000</v>
      </c>
      <c r="L8" s="5" t="n">
        <v>0</v>
      </c>
      <c r="M8" s="5" t="s">
        <v>33</v>
      </c>
      <c r="N8" s="5" t="s">
        <v>96</v>
      </c>
      <c r="O8" s="5" t="n">
        <v>0</v>
      </c>
      <c r="P8" s="5" t="n">
        <v>0</v>
      </c>
      <c r="Q8" s="5" t="n">
        <v>185000</v>
      </c>
      <c r="R8" s="5" t="n">
        <v>185000</v>
      </c>
      <c r="S8" s="5"/>
      <c r="T8" s="5"/>
      <c r="U8" s="5"/>
      <c r="V8" s="5" t="s">
        <v>35</v>
      </c>
      <c r="W8" s="5" t="n">
        <v>100000</v>
      </c>
      <c r="X8" s="5" t="s">
        <v>36</v>
      </c>
      <c r="Y8" s="5" t="s">
        <v>97</v>
      </c>
    </row>
    <row r="9" customFormat="false" ht="15" hidden="false" customHeight="true" outlineLevel="0" collapsed="false">
      <c r="A9" s="6" t="s">
        <v>98</v>
      </c>
      <c r="B9" s="6" t="s">
        <v>99</v>
      </c>
      <c r="C9" s="6" t="s">
        <v>100</v>
      </c>
      <c r="D9" s="6" t="s">
        <v>101</v>
      </c>
      <c r="E9" s="6" t="s">
        <v>83</v>
      </c>
      <c r="F9" s="6" t="s">
        <v>102</v>
      </c>
      <c r="G9" s="6" t="s">
        <v>30</v>
      </c>
      <c r="H9" s="6" t="s">
        <v>103</v>
      </c>
      <c r="I9" s="6" t="s">
        <v>104</v>
      </c>
      <c r="J9" s="6" t="n">
        <v>3200000</v>
      </c>
      <c r="K9" s="6" t="n">
        <v>3200000</v>
      </c>
      <c r="L9" s="6" t="n">
        <v>15</v>
      </c>
      <c r="M9" s="6" t="s">
        <v>33</v>
      </c>
      <c r="N9" s="6" t="s">
        <v>105</v>
      </c>
      <c r="O9" s="6" t="n">
        <v>2346667</v>
      </c>
      <c r="P9" s="6" t="n">
        <v>2346667</v>
      </c>
      <c r="Q9" s="6" t="n">
        <v>853333</v>
      </c>
      <c r="R9" s="6" t="n">
        <v>853333</v>
      </c>
      <c r="S9" s="6"/>
      <c r="T9" s="6"/>
      <c r="U9" s="6"/>
      <c r="V9" s="6" t="s">
        <v>106</v>
      </c>
      <c r="W9" s="6" t="n">
        <v>2000000</v>
      </c>
      <c r="X9" s="6" t="s">
        <v>36</v>
      </c>
      <c r="Y9" s="6" t="s">
        <v>107</v>
      </c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Format="false" ht="15" hidden="false" customHeight="true" outlineLevel="0" collapsed="false">
      <c r="A11" s="1" t="s">
        <v>108</v>
      </c>
      <c r="B11" s="1" t="s">
        <v>108</v>
      </c>
      <c r="C11" s="1" t="s">
        <v>109</v>
      </c>
      <c r="D11" s="1" t="s">
        <v>110</v>
      </c>
      <c r="E11" s="1" t="s">
        <v>40</v>
      </c>
      <c r="F11" s="1" t="s">
        <v>111</v>
      </c>
      <c r="G11" s="1" t="s">
        <v>78</v>
      </c>
      <c r="H11" s="1" t="s">
        <v>112</v>
      </c>
      <c r="I11" s="1" t="s">
        <v>113</v>
      </c>
      <c r="J11" s="1" t="n">
        <v>1450000</v>
      </c>
      <c r="K11" s="1" t="n">
        <v>1450000</v>
      </c>
      <c r="L11" s="1" t="n">
        <v>5</v>
      </c>
      <c r="M11" s="1" t="s">
        <v>45</v>
      </c>
      <c r="N11" s="1" t="s">
        <v>46</v>
      </c>
      <c r="O11" s="1" t="n">
        <v>1450000</v>
      </c>
      <c r="P11" s="1" t="n">
        <v>1450000</v>
      </c>
      <c r="Q11" s="1" t="n">
        <v>450000</v>
      </c>
      <c r="R11" s="1" t="n">
        <v>450000</v>
      </c>
      <c r="S11" s="1" t="s">
        <v>114</v>
      </c>
      <c r="T11" s="1" t="n">
        <v>350000</v>
      </c>
      <c r="U11" s="1" t="s">
        <v>115</v>
      </c>
      <c r="V11" s="1" t="s">
        <v>78</v>
      </c>
      <c r="W11" s="1" t="n">
        <v>0</v>
      </c>
      <c r="X11" s="1" t="s">
        <v>36</v>
      </c>
      <c r="Y11" s="1" t="s">
        <v>116</v>
      </c>
    </row>
    <row r="12" customFormat="false" ht="15" hidden="false" customHeight="true" outlineLevel="0" collapsed="false">
      <c r="A12" s="4" t="s">
        <v>117</v>
      </c>
      <c r="B12" s="4" t="s">
        <v>117</v>
      </c>
      <c r="C12" s="4" t="s">
        <v>118</v>
      </c>
      <c r="D12" s="4" t="s">
        <v>119</v>
      </c>
      <c r="E12" s="4" t="s">
        <v>62</v>
      </c>
      <c r="F12" s="4" t="s">
        <v>120</v>
      </c>
      <c r="G12" s="4" t="s">
        <v>30</v>
      </c>
      <c r="H12" s="4" t="s">
        <v>121</v>
      </c>
      <c r="I12" s="4" t="s">
        <v>122</v>
      </c>
      <c r="J12" s="4" t="n">
        <v>0</v>
      </c>
      <c r="K12" s="4" t="n">
        <v>0</v>
      </c>
      <c r="L12" s="4" t="n">
        <v>10</v>
      </c>
      <c r="M12" s="4" t="s">
        <v>33</v>
      </c>
      <c r="N12" s="4" t="s">
        <v>66</v>
      </c>
      <c r="O12" s="4" t="n">
        <v>0</v>
      </c>
      <c r="P12" s="4" t="n">
        <v>0</v>
      </c>
      <c r="Q12" s="4" t="n">
        <v>0</v>
      </c>
      <c r="R12" s="4" t="n">
        <v>0</v>
      </c>
      <c r="S12" s="4"/>
      <c r="T12" s="4"/>
      <c r="U12" s="4"/>
      <c r="V12" s="4" t="s">
        <v>35</v>
      </c>
      <c r="W12" s="4" t="n">
        <v>250000</v>
      </c>
      <c r="X12" s="4" t="s">
        <v>36</v>
      </c>
      <c r="Y12" s="4" t="s">
        <v>123</v>
      </c>
    </row>
    <row r="13" customFormat="false" ht="15" hidden="false" customHeight="true" outlineLevel="0" collapsed="false">
      <c r="A13" s="5" t="s">
        <v>124</v>
      </c>
      <c r="B13" s="5" t="s">
        <v>124</v>
      </c>
      <c r="C13" s="5" t="s">
        <v>125</v>
      </c>
      <c r="D13" s="5" t="s">
        <v>126</v>
      </c>
      <c r="E13" s="5" t="s">
        <v>71</v>
      </c>
      <c r="F13" s="5" t="s">
        <v>127</v>
      </c>
      <c r="G13" s="5" t="s">
        <v>63</v>
      </c>
      <c r="H13" s="5" t="s">
        <v>128</v>
      </c>
      <c r="I13" s="5" t="s">
        <v>129</v>
      </c>
      <c r="J13" s="5" t="n">
        <v>320000</v>
      </c>
      <c r="K13" s="5" t="n">
        <v>320000</v>
      </c>
      <c r="L13" s="5" t="n">
        <v>5</v>
      </c>
      <c r="M13" s="5" t="s">
        <v>33</v>
      </c>
      <c r="N13" s="5" t="s">
        <v>76</v>
      </c>
      <c r="O13" s="5" t="n">
        <v>192000</v>
      </c>
      <c r="P13" s="5" t="n">
        <v>192000</v>
      </c>
      <c r="Q13" s="5" t="n">
        <v>128000</v>
      </c>
      <c r="R13" s="5" t="n">
        <v>128000</v>
      </c>
      <c r="S13" s="5"/>
      <c r="T13" s="5"/>
      <c r="U13" s="5"/>
      <c r="V13" s="5" t="s">
        <v>35</v>
      </c>
      <c r="W13" s="5" t="n">
        <v>150000</v>
      </c>
      <c r="X13" s="5" t="s">
        <v>36</v>
      </c>
      <c r="Y13" s="5"/>
    </row>
    <row r="14" customFormat="false" ht="15" hidden="false" customHeight="true" outlineLevel="0" collapsed="false">
      <c r="A14" s="5" t="s">
        <v>130</v>
      </c>
      <c r="B14" s="5" t="s">
        <v>130</v>
      </c>
      <c r="C14" s="5" t="s">
        <v>131</v>
      </c>
      <c r="D14" s="5" t="s">
        <v>132</v>
      </c>
      <c r="E14" s="5" t="s">
        <v>71</v>
      </c>
      <c r="F14" s="5" t="s">
        <v>127</v>
      </c>
      <c r="G14" s="5" t="s">
        <v>63</v>
      </c>
      <c r="H14" s="5" t="s">
        <v>128</v>
      </c>
      <c r="I14" s="5" t="s">
        <v>133</v>
      </c>
      <c r="J14" s="5" t="n">
        <v>320000</v>
      </c>
      <c r="K14" s="5" t="n">
        <v>320000</v>
      </c>
      <c r="L14" s="5" t="n">
        <v>5</v>
      </c>
      <c r="M14" s="5" t="s">
        <v>33</v>
      </c>
      <c r="N14" s="5" t="s">
        <v>76</v>
      </c>
      <c r="O14" s="5" t="n">
        <v>192000</v>
      </c>
      <c r="P14" s="5" t="n">
        <v>192000</v>
      </c>
      <c r="Q14" s="5" t="n">
        <v>128000</v>
      </c>
      <c r="R14" s="5" t="n">
        <v>128000</v>
      </c>
      <c r="S14" s="5"/>
      <c r="T14" s="5"/>
      <c r="U14" s="5"/>
      <c r="V14" s="5" t="s">
        <v>35</v>
      </c>
      <c r="W14" s="5" t="n">
        <v>150000</v>
      </c>
      <c r="X14" s="5" t="s">
        <v>36</v>
      </c>
      <c r="Y14" s="5" t="s">
        <v>134</v>
      </c>
    </row>
    <row r="15" customFormat="false" ht="15" hidden="false" customHeight="true" outlineLevel="0" collapsed="false">
      <c r="A15" s="5" t="s">
        <v>135</v>
      </c>
      <c r="B15" s="5" t="s">
        <v>135</v>
      </c>
      <c r="C15" s="5" t="s">
        <v>136</v>
      </c>
      <c r="D15" s="5" t="s">
        <v>137</v>
      </c>
      <c r="E15" s="5" t="s">
        <v>52</v>
      </c>
      <c r="F15" s="5" t="s">
        <v>92</v>
      </c>
      <c r="G15" s="5" t="s">
        <v>138</v>
      </c>
      <c r="H15" s="5" t="s">
        <v>139</v>
      </c>
      <c r="I15" s="5" t="s">
        <v>140</v>
      </c>
      <c r="J15" s="5" t="n">
        <v>165000</v>
      </c>
      <c r="K15" s="5" t="n">
        <v>165000</v>
      </c>
      <c r="L15" s="5" t="n">
        <v>3</v>
      </c>
      <c r="M15" s="5" t="s">
        <v>45</v>
      </c>
      <c r="N15" s="5" t="s">
        <v>57</v>
      </c>
      <c r="O15" s="5" t="n">
        <v>54450</v>
      </c>
      <c r="P15" s="5" t="n">
        <v>54450</v>
      </c>
      <c r="Q15" s="5" t="n">
        <v>110550</v>
      </c>
      <c r="R15" s="5" t="n">
        <v>110550</v>
      </c>
      <c r="S15" s="5"/>
      <c r="T15" s="5"/>
      <c r="U15" s="5"/>
      <c r="V15" s="5" t="s">
        <v>35</v>
      </c>
      <c r="W15" s="5" t="n">
        <v>80000</v>
      </c>
      <c r="X15" s="5" t="s">
        <v>36</v>
      </c>
      <c r="Y15" s="5" t="s">
        <v>141</v>
      </c>
    </row>
    <row r="16" customFormat="false" ht="15" hidden="false" customHeight="true" outlineLevel="0" collapsed="false">
      <c r="A16" s="1" t="s">
        <v>142</v>
      </c>
      <c r="B16" s="1" t="s">
        <v>142</v>
      </c>
      <c r="C16" s="1" t="s">
        <v>143</v>
      </c>
      <c r="D16" s="1" t="s">
        <v>144</v>
      </c>
      <c r="E16" s="1" t="s">
        <v>83</v>
      </c>
      <c r="F16" s="1" t="s">
        <v>145</v>
      </c>
      <c r="G16" s="1" t="s">
        <v>146</v>
      </c>
      <c r="H16" s="1" t="s">
        <v>147</v>
      </c>
      <c r="I16" s="1" t="s">
        <v>148</v>
      </c>
      <c r="J16" s="1" t="n">
        <v>750000</v>
      </c>
      <c r="K16" s="1" t="n">
        <v>750000</v>
      </c>
      <c r="L16" s="1" t="n">
        <v>10</v>
      </c>
      <c r="M16" s="1" t="s">
        <v>33</v>
      </c>
      <c r="N16" s="1" t="s">
        <v>66</v>
      </c>
      <c r="O16" s="1" t="n">
        <v>262500</v>
      </c>
      <c r="P16" s="1" t="n">
        <v>262500</v>
      </c>
      <c r="Q16" s="1" t="n">
        <v>487500</v>
      </c>
      <c r="R16" s="1" t="n">
        <v>487500</v>
      </c>
      <c r="V16" s="1" t="s">
        <v>35</v>
      </c>
      <c r="W16" s="1" t="n">
        <v>2500000</v>
      </c>
      <c r="X16" s="1" t="s">
        <v>36</v>
      </c>
      <c r="Y16" s="1" t="s">
        <v>149</v>
      </c>
    </row>
    <row r="17" customFormat="false" ht="15" hidden="false" customHeight="true" outlineLevel="0" collapsed="false">
      <c r="A17" s="5" t="s">
        <v>150</v>
      </c>
      <c r="B17" s="5" t="s">
        <v>150</v>
      </c>
      <c r="C17" s="5" t="s">
        <v>151</v>
      </c>
      <c r="D17" s="5" t="s">
        <v>152</v>
      </c>
      <c r="E17" s="5" t="s">
        <v>28</v>
      </c>
      <c r="F17" s="5" t="s">
        <v>153</v>
      </c>
      <c r="G17" s="5" t="s">
        <v>154</v>
      </c>
      <c r="H17" s="5" t="s">
        <v>155</v>
      </c>
      <c r="I17" s="5" t="s">
        <v>155</v>
      </c>
      <c r="J17" s="5" t="n">
        <v>12000000</v>
      </c>
      <c r="K17" s="5" t="n">
        <v>12000000</v>
      </c>
      <c r="L17" s="5" t="n">
        <v>0</v>
      </c>
      <c r="M17" s="5" t="s">
        <v>156</v>
      </c>
      <c r="N17" s="5" t="s">
        <v>157</v>
      </c>
      <c r="O17" s="5" t="n">
        <v>0</v>
      </c>
      <c r="P17" s="5" t="n">
        <v>0</v>
      </c>
      <c r="Q17" s="5" t="n">
        <v>12000000</v>
      </c>
      <c r="R17" s="5" t="n">
        <v>12000000</v>
      </c>
      <c r="S17" s="5"/>
      <c r="T17" s="5"/>
      <c r="U17" s="5"/>
      <c r="V17" s="5" t="s">
        <v>158</v>
      </c>
      <c r="W17" s="5" t="n">
        <v>15000000</v>
      </c>
      <c r="X17" s="5"/>
      <c r="Y17" s="5" t="s">
        <v>159</v>
      </c>
    </row>
    <row r="18" customFormat="false" ht="15" hidden="false" customHeight="true" outlineLevel="0" collapsed="false">
      <c r="A18" s="4" t="s">
        <v>160</v>
      </c>
      <c r="B18" s="4" t="s">
        <v>160</v>
      </c>
      <c r="C18" s="4" t="s">
        <v>161</v>
      </c>
      <c r="D18" s="4" t="s">
        <v>162</v>
      </c>
      <c r="E18" s="4" t="s">
        <v>83</v>
      </c>
      <c r="F18" s="4" t="s">
        <v>163</v>
      </c>
      <c r="G18" s="4" t="s">
        <v>30</v>
      </c>
      <c r="H18" s="4" t="s">
        <v>164</v>
      </c>
      <c r="I18" s="4" t="s">
        <v>165</v>
      </c>
      <c r="J18" s="4" t="n">
        <v>2200000</v>
      </c>
      <c r="K18" s="4" t="n">
        <v>1900000</v>
      </c>
      <c r="L18" s="4" t="n">
        <v>20</v>
      </c>
      <c r="M18" s="4" t="s">
        <v>33</v>
      </c>
      <c r="N18" s="4" t="s">
        <v>166</v>
      </c>
      <c r="O18" s="4" t="n">
        <v>330000</v>
      </c>
      <c r="P18" s="4" t="n">
        <v>285000</v>
      </c>
      <c r="Q18" s="4" t="n">
        <v>1870000</v>
      </c>
      <c r="R18" s="4" t="n">
        <v>1615000</v>
      </c>
      <c r="S18" s="4"/>
      <c r="T18" s="4"/>
      <c r="U18" s="4"/>
      <c r="V18" s="4" t="s">
        <v>35</v>
      </c>
      <c r="W18" s="4" t="n">
        <v>1500000</v>
      </c>
      <c r="X18" s="4" t="s">
        <v>77</v>
      </c>
      <c r="Y18" s="4" t="s">
        <v>167</v>
      </c>
    </row>
    <row r="19" customFormat="false" ht="15" hidden="false" customHeight="true" outlineLevel="0" collapsed="false">
      <c r="A19" s="5" t="s">
        <v>168</v>
      </c>
      <c r="B19" s="5" t="s">
        <v>168</v>
      </c>
      <c r="C19" s="5" t="s">
        <v>169</v>
      </c>
      <c r="D19" s="5" t="s">
        <v>170</v>
      </c>
      <c r="E19" s="5" t="s">
        <v>52</v>
      </c>
      <c r="F19" s="5" t="s">
        <v>171</v>
      </c>
      <c r="G19" s="5" t="s">
        <v>54</v>
      </c>
      <c r="H19" s="5" t="s">
        <v>172</v>
      </c>
      <c r="I19" s="5" t="s">
        <v>173</v>
      </c>
      <c r="J19" s="5" t="n">
        <v>480000</v>
      </c>
      <c r="K19" s="5" t="n">
        <v>480000</v>
      </c>
      <c r="L19" s="5" t="n">
        <v>5</v>
      </c>
      <c r="M19" s="5" t="s">
        <v>33</v>
      </c>
      <c r="N19" s="5" t="s">
        <v>76</v>
      </c>
      <c r="O19" s="5" t="n">
        <v>480000</v>
      </c>
      <c r="P19" s="5" t="n">
        <v>480000</v>
      </c>
      <c r="Q19" s="5" t="n">
        <v>0</v>
      </c>
      <c r="R19" s="5" t="n">
        <v>0</v>
      </c>
      <c r="S19" s="5"/>
      <c r="T19" s="5"/>
      <c r="U19" s="5"/>
      <c r="V19" s="5" t="s">
        <v>106</v>
      </c>
      <c r="W19" s="5" t="n">
        <v>100000</v>
      </c>
      <c r="X19" s="5" t="s">
        <v>36</v>
      </c>
      <c r="Y19" s="5" t="s">
        <v>174</v>
      </c>
    </row>
    <row r="20" customFormat="false" ht="15" hidden="false" customHeight="true" outlineLevel="0" collapsed="false">
      <c r="A20" s="4" t="s">
        <v>175</v>
      </c>
      <c r="B20" s="4" t="s">
        <v>175</v>
      </c>
      <c r="C20" s="4" t="s">
        <v>176</v>
      </c>
      <c r="D20" s="4" t="s">
        <v>177</v>
      </c>
      <c r="E20" s="4" t="s">
        <v>40</v>
      </c>
      <c r="F20" s="4" t="s">
        <v>178</v>
      </c>
      <c r="G20" s="4" t="s">
        <v>78</v>
      </c>
      <c r="H20" s="4" t="s">
        <v>179</v>
      </c>
      <c r="I20" s="4" t="s">
        <v>180</v>
      </c>
      <c r="J20" s="4" t="n">
        <v>3800000</v>
      </c>
      <c r="K20" s="4" t="n">
        <v>3800000</v>
      </c>
      <c r="L20" s="4" t="n">
        <v>5</v>
      </c>
      <c r="M20" s="4" t="s">
        <v>45</v>
      </c>
      <c r="N20" s="4" t="s">
        <v>46</v>
      </c>
      <c r="O20" s="4" t="n">
        <v>3800000</v>
      </c>
      <c r="P20" s="4" t="n">
        <v>3800000</v>
      </c>
      <c r="Q20" s="4" t="n">
        <v>0</v>
      </c>
      <c r="R20" s="4" t="n">
        <v>0</v>
      </c>
      <c r="S20" s="4" t="s">
        <v>181</v>
      </c>
      <c r="T20" s="4" t="n">
        <v>4200000</v>
      </c>
      <c r="U20" s="4" t="s">
        <v>115</v>
      </c>
      <c r="V20" s="4" t="s">
        <v>78</v>
      </c>
      <c r="W20" s="4" t="n">
        <v>0</v>
      </c>
      <c r="X20" s="4" t="s">
        <v>36</v>
      </c>
      <c r="Y20" s="4" t="s">
        <v>182</v>
      </c>
    </row>
    <row r="21" customFormat="false" ht="15" hidden="false" customHeight="true" outlineLevel="0" collapsed="false">
      <c r="A21" s="6" t="s">
        <v>183</v>
      </c>
      <c r="B21" s="6" t="s">
        <v>183</v>
      </c>
      <c r="C21" s="6" t="s">
        <v>184</v>
      </c>
      <c r="D21" s="6" t="s">
        <v>185</v>
      </c>
      <c r="E21" s="6" t="s">
        <v>62</v>
      </c>
      <c r="F21" s="6" t="s">
        <v>186</v>
      </c>
      <c r="G21" s="6" t="s">
        <v>186</v>
      </c>
      <c r="H21" s="6" t="s">
        <v>187</v>
      </c>
      <c r="I21" s="6" t="s">
        <v>188</v>
      </c>
      <c r="J21" s="6" t="n">
        <v>295000</v>
      </c>
      <c r="K21" s="6" t="n">
        <v>295000</v>
      </c>
      <c r="L21" s="6" t="n">
        <v>10</v>
      </c>
      <c r="M21" s="6" t="s">
        <v>33</v>
      </c>
      <c r="N21" s="6" t="s">
        <v>66</v>
      </c>
      <c r="O21" s="6" t="n">
        <v>354000</v>
      </c>
      <c r="P21" s="6" t="n">
        <v>354000</v>
      </c>
      <c r="Q21" s="6" t="n">
        <v>-59000</v>
      </c>
      <c r="R21" s="6" t="n">
        <v>-59000</v>
      </c>
      <c r="S21" s="6"/>
      <c r="T21" s="6"/>
      <c r="U21" s="6"/>
      <c r="V21" s="6" t="s">
        <v>35</v>
      </c>
      <c r="W21" s="6" t="n">
        <v>150000</v>
      </c>
      <c r="X21" s="6" t="s">
        <v>36</v>
      </c>
      <c r="Y21" s="6" t="s">
        <v>189</v>
      </c>
    </row>
    <row r="22" customFormat="false" ht="15" hidden="false" customHeight="true" outlineLevel="0" collapsed="false">
      <c r="A22" s="6" t="s">
        <v>190</v>
      </c>
      <c r="B22" s="6" t="s">
        <v>190</v>
      </c>
      <c r="C22" s="6" t="s">
        <v>191</v>
      </c>
      <c r="D22" s="6" t="s">
        <v>192</v>
      </c>
      <c r="E22" s="6" t="s">
        <v>83</v>
      </c>
      <c r="F22" s="6" t="s">
        <v>193</v>
      </c>
      <c r="G22" s="6" t="s">
        <v>54</v>
      </c>
      <c r="H22" s="6" t="s">
        <v>194</v>
      </c>
      <c r="I22" s="6" t="s">
        <v>195</v>
      </c>
      <c r="J22" s="6" t="n">
        <v>890000</v>
      </c>
      <c r="K22" s="6" t="n">
        <v>890000</v>
      </c>
      <c r="L22" s="6" t="n">
        <v>15</v>
      </c>
      <c r="M22" s="6" t="s">
        <v>33</v>
      </c>
      <c r="N22" s="6" t="s">
        <v>105</v>
      </c>
      <c r="O22" s="6" t="n">
        <v>238133</v>
      </c>
      <c r="P22" s="6" t="n">
        <v>238133</v>
      </c>
      <c r="Q22" s="6" t="n">
        <v>651867</v>
      </c>
      <c r="R22" s="6" t="n">
        <v>651867</v>
      </c>
      <c r="S22" s="6"/>
      <c r="T22" s="6"/>
      <c r="U22" s="6"/>
      <c r="V22" s="6" t="s">
        <v>35</v>
      </c>
      <c r="W22" s="6" t="n">
        <v>890000</v>
      </c>
      <c r="X22" s="6" t="s">
        <v>77</v>
      </c>
      <c r="Y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32"/>
  </cols>
  <sheetData>
    <row r="1" customFormat="false" ht="15.75" hidden="false" customHeight="true" outlineLevel="0" collapsed="false">
      <c r="A1" s="7" t="s">
        <v>196</v>
      </c>
    </row>
    <row r="3" customFormat="false" ht="15" hidden="false" customHeight="true" outlineLevel="0" collapsed="false">
      <c r="A3" s="8" t="s">
        <v>0</v>
      </c>
      <c r="B3" s="8" t="s">
        <v>197</v>
      </c>
      <c r="C3" s="8" t="s">
        <v>9</v>
      </c>
      <c r="D3" s="8" t="s">
        <v>198</v>
      </c>
      <c r="E3" s="8" t="s">
        <v>199</v>
      </c>
      <c r="F3" s="8" t="s">
        <v>200</v>
      </c>
      <c r="G3" s="8" t="s">
        <v>201</v>
      </c>
      <c r="H3" s="8" t="s">
        <v>202</v>
      </c>
    </row>
    <row r="4" customFormat="false" ht="15" hidden="false" customHeight="true" outlineLevel="0" collapsed="false">
      <c r="A4" s="1" t="s">
        <v>25</v>
      </c>
      <c r="B4" s="1" t="s">
        <v>26</v>
      </c>
      <c r="C4" s="1" t="n">
        <v>45000000</v>
      </c>
      <c r="D4" s="1" t="n">
        <v>11250000</v>
      </c>
      <c r="E4" s="1" t="n">
        <v>1125000</v>
      </c>
      <c r="F4" s="1" t="n">
        <v>12375000</v>
      </c>
      <c r="G4" s="1" t="n">
        <v>32625000</v>
      </c>
    </row>
    <row r="5" customFormat="false" ht="15" hidden="false" customHeight="true" outlineLevel="0" collapsed="false">
      <c r="A5" s="1" t="s">
        <v>37</v>
      </c>
      <c r="B5" s="1" t="s">
        <v>38</v>
      </c>
      <c r="C5" s="1" t="n">
        <v>9500000</v>
      </c>
      <c r="D5" s="1" t="n">
        <v>9500000</v>
      </c>
      <c r="E5" s="1" t="n">
        <v>0</v>
      </c>
      <c r="F5" s="1" t="n">
        <v>9500000</v>
      </c>
      <c r="G5" s="1" t="n">
        <v>0</v>
      </c>
      <c r="H5" s="1" t="s">
        <v>203</v>
      </c>
    </row>
    <row r="6" customFormat="false" ht="15" hidden="false" customHeight="true" outlineLevel="0" collapsed="false">
      <c r="A6" s="1" t="s">
        <v>49</v>
      </c>
      <c r="B6" s="1" t="s">
        <v>50</v>
      </c>
      <c r="C6" s="1" t="n">
        <v>1800000</v>
      </c>
      <c r="D6" s="1" t="n">
        <v>1800000</v>
      </c>
      <c r="E6" s="1" t="n">
        <v>0</v>
      </c>
      <c r="F6" s="1" t="n">
        <v>2100000</v>
      </c>
      <c r="G6" s="1" t="n">
        <v>0</v>
      </c>
      <c r="H6" s="1" t="s">
        <v>204</v>
      </c>
    </row>
    <row r="7" customFormat="false" ht="15" hidden="false" customHeight="true" outlineLevel="0" collapsed="false">
      <c r="A7" s="1" t="s">
        <v>59</v>
      </c>
      <c r="B7" s="1" t="s">
        <v>60</v>
      </c>
      <c r="C7" s="1" t="n">
        <v>850000</v>
      </c>
      <c r="D7" s="1" t="n">
        <v>425000</v>
      </c>
      <c r="E7" s="1" t="n">
        <v>85000</v>
      </c>
      <c r="F7" s="1" t="n">
        <v>510000</v>
      </c>
      <c r="G7" s="1" t="n">
        <v>340000</v>
      </c>
    </row>
    <row r="8" customFormat="false" ht="15" hidden="false" customHeight="true" outlineLevel="0" collapsed="false">
      <c r="A8" s="1" t="s">
        <v>89</v>
      </c>
      <c r="B8" s="1" t="s">
        <v>90</v>
      </c>
      <c r="C8" s="1" t="n">
        <v>185000</v>
      </c>
      <c r="D8" s="1" t="n">
        <v>0</v>
      </c>
      <c r="E8" s="1" t="n">
        <v>0</v>
      </c>
      <c r="F8" s="1" t="n">
        <v>0</v>
      </c>
      <c r="G8" s="1" t="n">
        <v>185000</v>
      </c>
      <c r="H8" s="1" t="s">
        <v>205</v>
      </c>
    </row>
    <row r="9" customFormat="false" ht="15" hidden="false" customHeight="true" outlineLevel="0" collapsed="false">
      <c r="A9" s="1" t="s">
        <v>124</v>
      </c>
      <c r="B9" s="1" t="s">
        <v>125</v>
      </c>
      <c r="C9" s="1" t="n">
        <v>320000</v>
      </c>
      <c r="D9" s="1" t="n">
        <v>128000</v>
      </c>
      <c r="E9" s="1" t="n">
        <v>64000</v>
      </c>
      <c r="F9" s="1" t="n">
        <v>192000</v>
      </c>
      <c r="G9" s="1" t="n">
        <v>128000</v>
      </c>
    </row>
    <row r="10" customFormat="false" ht="15" hidden="false" customHeight="true" outlineLevel="0" collapsed="false">
      <c r="A10" s="1" t="s">
        <v>130</v>
      </c>
      <c r="B10" s="1" t="s">
        <v>131</v>
      </c>
      <c r="C10" s="1" t="n">
        <v>320000</v>
      </c>
      <c r="D10" s="1" t="n">
        <v>128000</v>
      </c>
      <c r="E10" s="1" t="n">
        <v>64000</v>
      </c>
      <c r="F10" s="1" t="n">
        <v>192000</v>
      </c>
      <c r="G10" s="1" t="n">
        <v>128000</v>
      </c>
      <c r="H10" s="1" t="s">
        <v>206</v>
      </c>
    </row>
    <row r="11" customFormat="false" ht="15" hidden="false" customHeight="true" outlineLevel="0" collapsed="false">
      <c r="A11" s="1" t="s">
        <v>135</v>
      </c>
      <c r="B11" s="1" t="s">
        <v>136</v>
      </c>
      <c r="C11" s="1" t="n">
        <v>165000</v>
      </c>
      <c r="D11" s="1" t="n">
        <v>0</v>
      </c>
      <c r="E11" s="1" t="n">
        <v>54450</v>
      </c>
      <c r="F11" s="1" t="n">
        <v>54450</v>
      </c>
      <c r="G11" s="1" t="n">
        <v>110550</v>
      </c>
      <c r="H11" s="1" t="s">
        <v>207</v>
      </c>
    </row>
    <row r="12" customFormat="false" ht="15" hidden="false" customHeight="true" outlineLevel="0" collapsed="false">
      <c r="A12" s="1" t="s">
        <v>150</v>
      </c>
      <c r="B12" s="1" t="s">
        <v>151</v>
      </c>
      <c r="C12" s="1" t="n">
        <v>12000000</v>
      </c>
      <c r="D12" s="1" t="n">
        <v>0</v>
      </c>
      <c r="E12" s="1" t="n">
        <v>0</v>
      </c>
      <c r="F12" s="1" t="n">
        <v>0</v>
      </c>
      <c r="G12" s="1" t="n">
        <v>12000000</v>
      </c>
      <c r="H12" s="1" t="s">
        <v>208</v>
      </c>
    </row>
    <row r="13" customFormat="false" ht="15" hidden="false" customHeight="true" outlineLevel="0" collapsed="false">
      <c r="A13" s="1" t="s">
        <v>183</v>
      </c>
      <c r="B13" s="1" t="s">
        <v>209</v>
      </c>
      <c r="C13" s="1" t="n">
        <v>295000</v>
      </c>
      <c r="D13" s="1" t="n">
        <v>295000</v>
      </c>
      <c r="E13" s="1" t="n">
        <v>59000</v>
      </c>
      <c r="F13" s="1" t="n">
        <v>354000</v>
      </c>
      <c r="G13" s="1" t="n">
        <v>-59000</v>
      </c>
      <c r="H13" s="1" t="s">
        <v>210</v>
      </c>
    </row>
    <row r="14" customFormat="false" ht="15" hidden="false" customHeight="true" outlineLevel="0" collapsed="false">
      <c r="A14" s="9" t="s">
        <v>211</v>
      </c>
      <c r="B14" s="9"/>
      <c r="C14" s="9" t="n">
        <f aca="false">SUM(C4:C13)</f>
        <v>70435000</v>
      </c>
      <c r="D14" s="9" t="n">
        <f aca="false">SUM(D4:D13)</f>
        <v>23526000</v>
      </c>
      <c r="E14" s="9" t="n">
        <f aca="false">SUM(E4:E13)</f>
        <v>1451450</v>
      </c>
      <c r="F14" s="9" t="n">
        <f aca="false">SUM(F4:F13)</f>
        <v>25277450</v>
      </c>
      <c r="G14" s="9" t="n">
        <f aca="false">SUM(G4:G13)</f>
        <v>45457550</v>
      </c>
    </row>
    <row r="16" customFormat="false" ht="15" hidden="false" customHeight="true" outlineLevel="0" collapsed="false">
      <c r="A16" s="10" t="s">
        <v>212</v>
      </c>
    </row>
    <row r="17" customFormat="false" ht="15" hidden="false" customHeight="true" outlineLevel="0" collapsed="false">
      <c r="A17" s="10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4" min="3" style="1" width="18"/>
    <col collapsed="false" customWidth="true" hidden="false" outlineLevel="0" max="5" min="5" style="1" width="10"/>
    <col collapsed="false" customWidth="true" hidden="false" outlineLevel="0" max="8" min="6" style="1" width="14"/>
    <col collapsed="false" customWidth="true" hidden="false" outlineLevel="0" max="9" min="9" style="1" width="44"/>
  </cols>
  <sheetData>
    <row r="1" customFormat="false" ht="15.75" hidden="false" customHeight="true" outlineLevel="0" collapsed="false">
      <c r="A1" s="7" t="s">
        <v>214</v>
      </c>
    </row>
    <row r="3" customFormat="false" ht="15" hidden="false" customHeight="true" outlineLevel="0" collapsed="false">
      <c r="A3" s="11" t="s">
        <v>0</v>
      </c>
      <c r="B3" s="11" t="s">
        <v>197</v>
      </c>
      <c r="C3" s="11" t="s">
        <v>215</v>
      </c>
      <c r="D3" s="11" t="s">
        <v>216</v>
      </c>
      <c r="E3" s="11" t="s">
        <v>217</v>
      </c>
      <c r="F3" s="11" t="s">
        <v>218</v>
      </c>
      <c r="G3" s="11" t="s">
        <v>219</v>
      </c>
      <c r="H3" s="11" t="s">
        <v>220</v>
      </c>
      <c r="I3" s="11" t="s">
        <v>221</v>
      </c>
    </row>
    <row r="4" customFormat="false" ht="15" hidden="false" customHeight="true" outlineLevel="0" collapsed="false">
      <c r="A4" s="1" t="s">
        <v>25</v>
      </c>
      <c r="B4" s="1" t="s">
        <v>222</v>
      </c>
      <c r="C4" s="1" t="s">
        <v>30</v>
      </c>
      <c r="D4" s="1" t="s">
        <v>30</v>
      </c>
      <c r="E4" s="1" t="s">
        <v>223</v>
      </c>
      <c r="F4" s="1" t="s">
        <v>224</v>
      </c>
      <c r="G4" s="1" t="s">
        <v>36</v>
      </c>
      <c r="H4" s="1" t="s">
        <v>35</v>
      </c>
    </row>
    <row r="5" customFormat="false" ht="15" hidden="false" customHeight="true" outlineLevel="0" collapsed="false">
      <c r="A5" s="1" t="s">
        <v>37</v>
      </c>
      <c r="B5" s="1" t="s">
        <v>38</v>
      </c>
      <c r="C5" s="1" t="s">
        <v>42</v>
      </c>
      <c r="D5" s="1" t="s">
        <v>42</v>
      </c>
      <c r="E5" s="1" t="s">
        <v>223</v>
      </c>
      <c r="F5" s="1" t="s">
        <v>224</v>
      </c>
      <c r="G5" s="1" t="s">
        <v>36</v>
      </c>
      <c r="H5" s="1" t="s">
        <v>47</v>
      </c>
      <c r="I5" s="1" t="s">
        <v>225</v>
      </c>
    </row>
    <row r="6" customFormat="false" ht="15" hidden="false" customHeight="true" outlineLevel="0" collapsed="false">
      <c r="A6" s="1" t="s">
        <v>49</v>
      </c>
      <c r="B6" s="1" t="s">
        <v>50</v>
      </c>
      <c r="C6" s="1" t="s">
        <v>54</v>
      </c>
      <c r="D6" s="1" t="s">
        <v>54</v>
      </c>
      <c r="E6" s="1" t="s">
        <v>223</v>
      </c>
      <c r="F6" s="1" t="s">
        <v>226</v>
      </c>
      <c r="G6" s="1" t="s">
        <v>36</v>
      </c>
      <c r="H6" s="1" t="s">
        <v>35</v>
      </c>
      <c r="I6" s="1" t="s">
        <v>227</v>
      </c>
    </row>
    <row r="7" customFormat="false" ht="15" hidden="false" customHeight="true" outlineLevel="0" collapsed="false">
      <c r="A7" s="1" t="s">
        <v>59</v>
      </c>
      <c r="B7" s="1" t="s">
        <v>60</v>
      </c>
      <c r="C7" s="1" t="s">
        <v>30</v>
      </c>
      <c r="D7" s="1" t="s">
        <v>30</v>
      </c>
      <c r="E7" s="1" t="s">
        <v>223</v>
      </c>
      <c r="F7" s="1" t="s">
        <v>224</v>
      </c>
      <c r="G7" s="1" t="s">
        <v>36</v>
      </c>
      <c r="H7" s="1" t="s">
        <v>35</v>
      </c>
    </row>
    <row r="8" customFormat="false" ht="15" hidden="false" customHeight="true" outlineLevel="0" collapsed="false">
      <c r="A8" s="1" t="s">
        <v>68</v>
      </c>
      <c r="B8" s="1" t="s">
        <v>69</v>
      </c>
      <c r="C8" s="1" t="s">
        <v>73</v>
      </c>
      <c r="D8" s="1" t="s">
        <v>228</v>
      </c>
      <c r="E8" s="1" t="s">
        <v>229</v>
      </c>
      <c r="F8" s="1" t="s">
        <v>224</v>
      </c>
      <c r="G8" s="1" t="s">
        <v>36</v>
      </c>
      <c r="H8" s="1" t="s">
        <v>230</v>
      </c>
      <c r="I8" s="1" t="s">
        <v>231</v>
      </c>
    </row>
    <row r="9" customFormat="false" ht="15" hidden="false" customHeight="true" outlineLevel="0" collapsed="false">
      <c r="A9" s="1" t="s">
        <v>80</v>
      </c>
      <c r="B9" s="1" t="s">
        <v>81</v>
      </c>
      <c r="C9" s="1" t="s">
        <v>30</v>
      </c>
      <c r="D9" s="1" t="s">
        <v>30</v>
      </c>
      <c r="E9" s="1" t="s">
        <v>223</v>
      </c>
      <c r="F9" s="1" t="s">
        <v>224</v>
      </c>
      <c r="G9" s="1" t="s">
        <v>36</v>
      </c>
      <c r="H9" s="1" t="s">
        <v>87</v>
      </c>
      <c r="I9" s="1" t="s">
        <v>232</v>
      </c>
    </row>
    <row r="10" customFormat="false" ht="15" hidden="false" customHeight="true" outlineLevel="0" collapsed="false">
      <c r="A10" s="1" t="s">
        <v>89</v>
      </c>
      <c r="B10" s="1" t="s">
        <v>90</v>
      </c>
      <c r="C10" s="1" t="s">
        <v>93</v>
      </c>
      <c r="D10" s="1" t="s">
        <v>93</v>
      </c>
      <c r="E10" s="1" t="s">
        <v>223</v>
      </c>
      <c r="F10" s="1" t="s">
        <v>233</v>
      </c>
      <c r="G10" s="1" t="s">
        <v>36</v>
      </c>
      <c r="H10" s="1" t="s">
        <v>35</v>
      </c>
      <c r="I10" s="1" t="s">
        <v>234</v>
      </c>
    </row>
    <row r="11" customFormat="false" ht="15" hidden="false" customHeight="true" outlineLevel="0" collapsed="false">
      <c r="A11" s="1" t="s">
        <v>98</v>
      </c>
      <c r="B11" s="1" t="s">
        <v>235</v>
      </c>
      <c r="C11" s="1" t="s">
        <v>30</v>
      </c>
      <c r="D11" s="1" t="s">
        <v>30</v>
      </c>
      <c r="E11" s="1" t="s">
        <v>223</v>
      </c>
      <c r="F11" s="1" t="s">
        <v>224</v>
      </c>
      <c r="G11" s="1" t="s">
        <v>36</v>
      </c>
      <c r="H11" s="1" t="s">
        <v>106</v>
      </c>
    </row>
    <row r="12" customFormat="false" ht="15" hidden="false" customHeight="true" outlineLevel="0" collapsed="false">
      <c r="A12" s="1" t="s">
        <v>108</v>
      </c>
      <c r="B12" s="1" t="s">
        <v>236</v>
      </c>
      <c r="C12" s="1" t="s">
        <v>78</v>
      </c>
      <c r="D12" s="1" t="s">
        <v>237</v>
      </c>
      <c r="E12" s="1" t="s">
        <v>229</v>
      </c>
      <c r="F12" s="1" t="s">
        <v>224</v>
      </c>
      <c r="G12" s="1" t="s">
        <v>36</v>
      </c>
      <c r="H12" s="1" t="s">
        <v>78</v>
      </c>
      <c r="I12" s="1" t="s">
        <v>238</v>
      </c>
    </row>
    <row r="13" customFormat="false" ht="15" hidden="false" customHeight="true" outlineLevel="0" collapsed="false">
      <c r="A13" s="1" t="s">
        <v>117</v>
      </c>
      <c r="B13" s="1" t="s">
        <v>118</v>
      </c>
      <c r="C13" s="1" t="s">
        <v>30</v>
      </c>
      <c r="D13" s="1" t="s">
        <v>30</v>
      </c>
      <c r="E13" s="1" t="s">
        <v>223</v>
      </c>
      <c r="F13" s="1" t="s">
        <v>224</v>
      </c>
      <c r="G13" s="1" t="s">
        <v>36</v>
      </c>
      <c r="H13" s="1" t="s">
        <v>35</v>
      </c>
      <c r="I13" s="1" t="s">
        <v>239</v>
      </c>
    </row>
    <row r="14" customFormat="false" ht="15" hidden="false" customHeight="true" outlineLevel="0" collapsed="false">
      <c r="A14" s="1" t="s">
        <v>124</v>
      </c>
      <c r="B14" s="1" t="s">
        <v>125</v>
      </c>
      <c r="C14" s="1" t="s">
        <v>63</v>
      </c>
      <c r="D14" s="1" t="s">
        <v>63</v>
      </c>
      <c r="E14" s="1" t="s">
        <v>223</v>
      </c>
      <c r="F14" s="1" t="s">
        <v>233</v>
      </c>
      <c r="G14" s="1" t="s">
        <v>36</v>
      </c>
      <c r="H14" s="1" t="s">
        <v>35</v>
      </c>
      <c r="I14" s="1" t="s">
        <v>240</v>
      </c>
    </row>
    <row r="15" customFormat="false" ht="15" hidden="false" customHeight="true" outlineLevel="0" collapsed="false">
      <c r="A15" s="1" t="s">
        <v>130</v>
      </c>
      <c r="B15" s="1" t="s">
        <v>131</v>
      </c>
      <c r="C15" s="1" t="s">
        <v>63</v>
      </c>
      <c r="D15" s="1" t="s">
        <v>63</v>
      </c>
      <c r="E15" s="1" t="s">
        <v>223</v>
      </c>
      <c r="F15" s="1" t="s">
        <v>233</v>
      </c>
      <c r="G15" s="1" t="s">
        <v>36</v>
      </c>
      <c r="H15" s="1" t="s">
        <v>35</v>
      </c>
      <c r="I15" s="1" t="s">
        <v>241</v>
      </c>
    </row>
    <row r="16" customFormat="false" ht="15" hidden="false" customHeight="true" outlineLevel="0" collapsed="false">
      <c r="A16" s="1" t="s">
        <v>150</v>
      </c>
      <c r="B16" s="1" t="s">
        <v>151</v>
      </c>
      <c r="C16" s="1" t="s">
        <v>154</v>
      </c>
      <c r="D16" s="1" t="s">
        <v>242</v>
      </c>
      <c r="E16" s="1" t="s">
        <v>229</v>
      </c>
      <c r="H16" s="1" t="s">
        <v>158</v>
      </c>
      <c r="I16" s="1" t="s">
        <v>243</v>
      </c>
    </row>
    <row r="17" customFormat="false" ht="15" hidden="false" customHeight="true" outlineLevel="0" collapsed="false">
      <c r="A17" s="1" t="s">
        <v>175</v>
      </c>
      <c r="B17" s="1" t="s">
        <v>176</v>
      </c>
      <c r="C17" s="1" t="s">
        <v>78</v>
      </c>
      <c r="D17" s="1" t="s">
        <v>237</v>
      </c>
      <c r="E17" s="1" t="s">
        <v>223</v>
      </c>
      <c r="F17" s="1" t="s">
        <v>224</v>
      </c>
      <c r="G17" s="1" t="s">
        <v>36</v>
      </c>
      <c r="H17" s="1" t="s">
        <v>78</v>
      </c>
      <c r="I17" s="1" t="s">
        <v>244</v>
      </c>
    </row>
    <row r="18" customFormat="false" ht="15" hidden="false" customHeight="true" outlineLevel="0" collapsed="false">
      <c r="A18" s="1" t="s">
        <v>183</v>
      </c>
      <c r="B18" s="1" t="s">
        <v>184</v>
      </c>
      <c r="C18" s="1" t="s">
        <v>186</v>
      </c>
      <c r="D18" s="1" t="s">
        <v>186</v>
      </c>
      <c r="E18" s="1" t="s">
        <v>223</v>
      </c>
      <c r="F18" s="1" t="s">
        <v>224</v>
      </c>
      <c r="G18" s="1" t="s">
        <v>36</v>
      </c>
      <c r="H18" s="1" t="s">
        <v>35</v>
      </c>
      <c r="I18" s="1" t="s">
        <v>245</v>
      </c>
    </row>
    <row r="19" customFormat="false" ht="15" hidden="false" customHeight="true" outlineLevel="0" collapsed="false">
      <c r="A19" s="1" t="s">
        <v>156</v>
      </c>
      <c r="B19" s="1" t="s">
        <v>246</v>
      </c>
      <c r="C19" s="1" t="s">
        <v>247</v>
      </c>
      <c r="D19" s="1" t="s">
        <v>248</v>
      </c>
      <c r="E19" s="1" t="s">
        <v>156</v>
      </c>
      <c r="F19" s="1" t="s">
        <v>224</v>
      </c>
      <c r="G19" s="1" t="s">
        <v>36</v>
      </c>
      <c r="H19" s="1" t="s">
        <v>35</v>
      </c>
      <c r="I19" s="1" t="s">
        <v>249</v>
      </c>
    </row>
    <row r="21" customFormat="false" ht="15" hidden="false" customHeight="true" outlineLevel="0" collapsed="false">
      <c r="A21" s="10" t="s">
        <v>250</v>
      </c>
    </row>
    <row r="22" customFormat="false" ht="15" hidden="false" customHeight="true" outlineLevel="0" collapsed="false">
      <c r="A22" s="1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2026-06-04T07:35:59Z</dcterms:created>
  <dc:creator>openpyxl</dc:creator>
  <dc:description/>
  <dc:language>en-US</dc:language>
  <cp:lastModifiedBy/>
  <dcterms:modified xsi:type="dcterms:W3CDTF">2026-06-04T07:36:20Z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